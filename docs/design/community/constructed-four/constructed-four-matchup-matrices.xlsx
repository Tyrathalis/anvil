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-24.04\home\lonelyneutrino\mtg-ai\anvil\data\training\constructed-four-rl-4000\analysis\"/>
    </mc:Choice>
  </mc:AlternateContent>
  <xr:revisionPtr revIDLastSave="0" documentId="13_ncr:1_{0B5AA795-1F93-4EEF-91E3-8CC3760B5560}" xr6:coauthVersionLast="47" xr6:coauthVersionMax="47" xr10:uidLastSave="{00000000-0000-0000-0000-000000000000}"/>
  <bookViews>
    <workbookView xWindow="-120" yWindow="-120" windowWidth="29040" windowHeight="15720" tabRatio="675" firstSheet="3" activeTab="12" xr2:uid="{00000000-000D-0000-FFFF-FFFF00000000}"/>
  </bookViews>
  <sheets>
    <sheet name="README" sheetId="1" r:id="rId1"/>
    <sheet name="HvH_40000" sheetId="2" r:id="rId2"/>
    <sheet name="BC_initial_8000" sheetId="3" r:id="rId3"/>
    <sheet name="RL_iter05" sheetId="4" r:id="rId4"/>
    <sheet name="RL_iter10" sheetId="5" r:id="rId5"/>
    <sheet name="RL_iter15" sheetId="6" r:id="rId6"/>
    <sheet name="RL_iter20" sheetId="7" r:id="rId7"/>
    <sheet name="RL_iter30" sheetId="8" r:id="rId8"/>
    <sheet name="RL_iter40" sheetId="9" r:id="rId9"/>
    <sheet name="RL30_vs_Baselines" sheetId="10" r:id="rId10"/>
    <sheet name="RL40_vs_Baselines" sheetId="11" r:id="rId11"/>
    <sheet name="RL40_vs_RL30" sheetId="12" r:id="rId12"/>
    <sheet name="All_Matrices_Combined" sheetId="13" r:id="rId1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13" l="1"/>
  <c r="E39" i="13"/>
  <c r="E38" i="13"/>
  <c r="E37" i="13"/>
  <c r="D40" i="13"/>
  <c r="D39" i="13"/>
  <c r="D38" i="13"/>
  <c r="D37" i="13"/>
  <c r="C40" i="13"/>
  <c r="C39" i="13"/>
  <c r="C38" i="13"/>
  <c r="C37" i="13"/>
  <c r="B40" i="13"/>
  <c r="B39" i="13"/>
  <c r="B38" i="13"/>
  <c r="B37" i="13"/>
  <c r="K33" i="13"/>
  <c r="K32" i="13"/>
  <c r="K31" i="13"/>
  <c r="K30" i="13"/>
  <c r="J33" i="13"/>
  <c r="J32" i="13"/>
  <c r="J31" i="13"/>
  <c r="J30" i="13"/>
  <c r="I33" i="13"/>
  <c r="I32" i="13"/>
  <c r="I31" i="13"/>
  <c r="I30" i="13"/>
  <c r="H33" i="13"/>
  <c r="H32" i="13"/>
  <c r="H31" i="13"/>
  <c r="H30" i="13"/>
  <c r="E33" i="13"/>
  <c r="E32" i="13"/>
  <c r="E31" i="13"/>
  <c r="E30" i="13"/>
  <c r="D33" i="13"/>
  <c r="D32" i="13"/>
  <c r="D31" i="13"/>
  <c r="D30" i="13"/>
  <c r="C33" i="13"/>
  <c r="C32" i="13"/>
  <c r="C31" i="13"/>
  <c r="C30" i="13"/>
  <c r="B33" i="13"/>
  <c r="B32" i="13"/>
  <c r="B31" i="13"/>
  <c r="B30" i="13"/>
  <c r="H25" i="13"/>
  <c r="H26" i="13"/>
  <c r="I26" i="13"/>
  <c r="I25" i="13"/>
  <c r="J25" i="13"/>
  <c r="J26" i="13"/>
  <c r="K26" i="13"/>
  <c r="K25" i="13"/>
  <c r="K24" i="13"/>
  <c r="J24" i="13"/>
  <c r="I24" i="13"/>
  <c r="H24" i="13"/>
  <c r="K23" i="13"/>
  <c r="J23" i="13"/>
  <c r="I23" i="13"/>
  <c r="H23" i="13"/>
  <c r="E26" i="13"/>
  <c r="D26" i="13"/>
  <c r="C26" i="13"/>
  <c r="B26" i="13"/>
  <c r="E25" i="13"/>
  <c r="D25" i="13"/>
  <c r="C25" i="13"/>
  <c r="B25" i="13"/>
  <c r="E24" i="13"/>
  <c r="D24" i="13"/>
  <c r="C24" i="13"/>
  <c r="B24" i="13"/>
  <c r="E23" i="13"/>
  <c r="D23" i="13"/>
  <c r="C23" i="13"/>
  <c r="B23" i="13"/>
  <c r="D47" i="13"/>
  <c r="C47" i="13"/>
  <c r="B47" i="13"/>
  <c r="A47" i="13"/>
  <c r="D46" i="13"/>
  <c r="C46" i="13"/>
  <c r="B46" i="13"/>
  <c r="A46" i="13"/>
  <c r="D45" i="13"/>
  <c r="C45" i="13"/>
  <c r="B45" i="13"/>
  <c r="A45" i="13"/>
  <c r="D44" i="13"/>
  <c r="C44" i="13"/>
  <c r="E44" i="13" s="1"/>
  <c r="B44" i="13"/>
  <c r="A44" i="13"/>
  <c r="K18" i="13"/>
  <c r="J18" i="13"/>
  <c r="I18" i="13"/>
  <c r="H18" i="13"/>
  <c r="E18" i="13"/>
  <c r="D18" i="13"/>
  <c r="C18" i="13"/>
  <c r="B18" i="13"/>
  <c r="K17" i="13"/>
  <c r="J17" i="13"/>
  <c r="I17" i="13"/>
  <c r="H17" i="13"/>
  <c r="E17" i="13"/>
  <c r="D17" i="13"/>
  <c r="C17" i="13"/>
  <c r="B17" i="13"/>
  <c r="K16" i="13"/>
  <c r="J16" i="13"/>
  <c r="I16" i="13"/>
  <c r="H16" i="13"/>
  <c r="E16" i="13"/>
  <c r="D16" i="13"/>
  <c r="C16" i="13"/>
  <c r="B16" i="13"/>
  <c r="K15" i="13"/>
  <c r="J15" i="13"/>
  <c r="I15" i="13"/>
  <c r="H15" i="13"/>
  <c r="E15" i="13"/>
  <c r="D15" i="13"/>
  <c r="C15" i="13"/>
  <c r="B15" i="13"/>
  <c r="K11" i="13"/>
  <c r="J11" i="13"/>
  <c r="I11" i="13"/>
  <c r="H11" i="13"/>
  <c r="E11" i="13"/>
  <c r="D11" i="13"/>
  <c r="C11" i="13"/>
  <c r="B11" i="13"/>
  <c r="K10" i="13"/>
  <c r="J10" i="13"/>
  <c r="I10" i="13"/>
  <c r="H10" i="13"/>
  <c r="E10" i="13"/>
  <c r="D10" i="13"/>
  <c r="C10" i="13"/>
  <c r="B10" i="13"/>
  <c r="K9" i="13"/>
  <c r="J9" i="13"/>
  <c r="I9" i="13"/>
  <c r="H9" i="13"/>
  <c r="E9" i="13"/>
  <c r="D9" i="13"/>
  <c r="C9" i="13"/>
  <c r="B9" i="13"/>
  <c r="K8" i="13"/>
  <c r="J8" i="13"/>
  <c r="I8" i="13"/>
  <c r="H8" i="13"/>
  <c r="E8" i="13"/>
  <c r="D8" i="13"/>
  <c r="C8" i="13"/>
  <c r="B8" i="13"/>
  <c r="E45" i="13" l="1"/>
  <c r="F45" i="13" s="1"/>
  <c r="E47" i="13"/>
  <c r="E46" i="13"/>
  <c r="G44" i="13"/>
  <c r="F44" i="13"/>
  <c r="G45" i="13" l="1"/>
  <c r="H45" i="13"/>
  <c r="F47" i="13"/>
  <c r="G47" i="13"/>
  <c r="H47" i="13" s="1"/>
  <c r="F46" i="13"/>
  <c r="G46" i="13"/>
  <c r="H46" i="13" l="1"/>
</calcChain>
</file>

<file path=xl/sharedStrings.xml><?xml version="1.0" encoding="utf-8"?>
<sst xmlns="http://schemas.openxmlformats.org/spreadsheetml/2006/main" count="1487" uniqueCount="256">
  <si>
    <t>Initial behavior clone vs heuristic — 8,000 games</t>
  </si>
  <si>
    <t>Rows: Model deck; columns: Heuristic deck.</t>
  </si>
  <si>
    <t>Source: data/training/constructed-four-auto-20260909-211341/arms-report.json</t>
  </si>
  <si>
    <t>Initial behavior-clone checkpoint immediately after behavior-cloning training. Both mirrored model-seat runs are pooled.</t>
  </si>
  <si>
    <t>Win rate with 95% Wilson CI</t>
  </si>
  <si>
    <t>Model deck \ Heuristic deck</t>
  </si>
  <si>
    <t>Blue Tempo</t>
  </si>
  <si>
    <t>Green Stompy</t>
  </si>
  <si>
    <t>Red Aggro</t>
  </si>
  <si>
    <t>White Weenie</t>
  </si>
  <si>
    <t>48.8% [44.6%, 53.1%]</t>
  </si>
  <si>
    <t>13.8% [11.2%, 16.8%]</t>
  </si>
  <si>
    <t>23.6% [19.9%, 27.8%]</t>
  </si>
  <si>
    <t>17.0% [13.8%, 20.8%]</t>
  </si>
  <si>
    <t>80.7% [77.3%, 83.7%]</t>
  </si>
  <si>
    <t>34.4% [29.6%, 39.6%]</t>
  </si>
  <si>
    <t>57.7% [53.5%, 61.9%]</t>
  </si>
  <si>
    <t>35.4% [31.5%, 39.4%]</t>
  </si>
  <si>
    <t>53.6% [49.0%, 58.2%]</t>
  </si>
  <si>
    <t>18.1% [15.1%, 21.6%]</t>
  </si>
  <si>
    <t>16.7% [13.2%, 20.9%]</t>
  </si>
  <si>
    <t>14.9% [12.3%, 18.0%]</t>
  </si>
  <si>
    <t>81.4% [77.5%, 84.7%]</t>
  </si>
  <si>
    <t>42.3% [38.3%, 46.5%]</t>
  </si>
  <si>
    <t>65.2% [61.4%, 68.9%]</t>
  </si>
  <si>
    <t>37.0% [32.7%, 41.5%]</t>
  </si>
  <si>
    <t>Model/row wins</t>
  </si>
  <si>
    <t>Total games in denominator</t>
  </si>
  <si>
    <t>Decisive games</t>
  </si>
  <si>
    <t>Non-decisive/crash games</t>
  </si>
  <si>
    <t>Draw-clock markers</t>
  </si>
  <si>
    <t>Win rate (numeric)</t>
  </si>
  <si>
    <t>95% CI lower</t>
  </si>
  <si>
    <t>95% CI upper</t>
  </si>
  <si>
    <t>Cell-level raw data</t>
  </si>
  <si>
    <t>Row deck</t>
  </si>
  <si>
    <t>Column deck</t>
  </si>
  <si>
    <t>Wins</t>
  </si>
  <si>
    <t>Games</t>
  </si>
  <si>
    <t>Decisive</t>
  </si>
  <si>
    <t>Non-decisive</t>
  </si>
  <si>
    <t>Draw-clock</t>
  </si>
  <si>
    <t>Win rate</t>
  </si>
  <si>
    <t>CI lower</t>
  </si>
  <si>
    <t>CI upper</t>
  </si>
  <si>
    <t>Constructed-four matchup win-rate workbook</t>
  </si>
  <si>
    <t>Percentages use Wilson 95% confidence intervals. Model-vs-heuristic denominators include crashes/non-won games as non-model wins, matching arms_report.json.</t>
  </si>
  <si>
    <t>Workbook contents</t>
  </si>
  <si>
    <t>Sheet</t>
  </si>
  <si>
    <t>Evaluation</t>
  </si>
  <si>
    <t>Overall model win rate</t>
  </si>
  <si>
    <t>Source</t>
  </si>
  <si>
    <t>HvH_40000</t>
  </si>
  <si>
    <t>Heuristic vs heuristic — 40,000 generated games</t>
  </si>
  <si>
    <t>data/runs/constructed-four-heur-40000-20260909-211341-20260909-211341</t>
  </si>
  <si>
    <t>BC_initial_8000</t>
  </si>
  <si>
    <t>data/training/constructed-four-auto-20260909-211341/arms-report.json</t>
  </si>
  <si>
    <t>RL_iter05</t>
  </si>
  <si>
    <t>RL checkpoint after iteration 5 — 4,000 eval games</t>
  </si>
  <si>
    <t>data/training/constructed-four-rl-4000/iter-004/arms-report.json</t>
  </si>
  <si>
    <t>RL_iter10</t>
  </si>
  <si>
    <t>RL checkpoint after iteration 10 — 4,000 eval games</t>
  </si>
  <si>
    <t>data/training/constructed-four-rl-4000/iter-009/arms-report.json</t>
  </si>
  <si>
    <t>RL_iter15</t>
  </si>
  <si>
    <t>RL checkpoint after iteration 15 — 4,000 eval games</t>
  </si>
  <si>
    <t>data/training/constructed-four-rl-4000/iter-014/arms-report.json</t>
  </si>
  <si>
    <t>RL_iter20</t>
  </si>
  <si>
    <t>RL checkpoint after iteration 20 — 4,000 eval games</t>
  </si>
  <si>
    <t>data/training/constructed-four-rl-4000/iter-019/arms-report.json</t>
  </si>
  <si>
    <t>RL_iter30</t>
  </si>
  <si>
    <t>RL checkpoint after iteration 30 — 8,000 eval games</t>
  </si>
  <si>
    <t>data/training/constructed-four-rl-4000/iter-029/arms-report.json</t>
  </si>
  <si>
    <t>RL_iter40</t>
  </si>
  <si>
    <t>RL checkpoint after iteration 40 — 8,000 eval games</t>
  </si>
  <si>
    <t>data/training/constructed-four-rl-4000/iter-039/arms-report.json</t>
  </si>
  <si>
    <t>Interpretation of heuristic-vs-heuristic sheet</t>
  </si>
  <si>
    <t>Off-diagonal cells pool both seat assignments, so A-vs-B and B-vs-A use the same games with complementary winners. Same-deck diagonal cells use seat-0 wins.</t>
  </si>
  <si>
    <t>Evaluation timing</t>
  </si>
  <si>
    <t>The recorded RL configuration has arms_every = 5. Thus iter-004, iter-009, iter-014, iter-019, iter-029, and iter-039 correspond to completed iterations 5, 10, 15, 20, 30, and 40.</t>
  </si>
  <si>
    <t>RL30_vs_Baselines</t>
  </si>
  <si>
    <t>Iteration-30 changes versus heuristic-vs-heuristic and initial behavior-clone references.</t>
  </si>
  <si>
    <t>RL_iter30, HvH_40000, BC_initial_8000</t>
  </si>
  <si>
    <t>RL40_vs_Baselines</t>
  </si>
  <si>
    <t>Iteration-40 changes versus heuristic-vs-heuristic and initial behavior-clone references.</t>
  </si>
  <si>
    <t>RL_iter40, HvH_40000, BC_initial_8000</t>
  </si>
  <si>
    <t>RL40_vs_RL30</t>
  </si>
  <si>
    <t>Direct per-matchup and overall comparison of iteration 40 against iteration 30.</t>
  </si>
  <si>
    <t>RL_iter40, RL_iter30</t>
  </si>
  <si>
    <t>All_Matrices_Combined</t>
  </si>
  <si>
    <t>All four actual matrices with CIs plus all five comparison matrices in one view.</t>
  </si>
  <si>
    <t>HvH_40000, BC_initial_8000, RL_iter30, RL_iter40, comparison sheets</t>
  </si>
  <si>
    <t>Comparison cells are percentage-point changes: positive favors the first-named model, negative favors the reference.</t>
  </si>
  <si>
    <t>All_Matrices_Combined uses source-sheet links, TEXTBEFORE/NUMBERVALUE extraction for comparisons, and formula-driven Wilson CIs.</t>
  </si>
  <si>
    <t>Rows: Row deck; columns: Column deck.</t>
  </si>
  <si>
    <t>Source: data/runs/constructed-four-heur-40000-20260909-211341-20260909-211341</t>
  </si>
  <si>
    <t>Off-diagonal cells pool both seat assignments; each game contributes to both directed cells. Diagonal cells report seat-0 win rate for same-deck games. Cell counts therefore need not sum to 40,000.</t>
  </si>
  <si>
    <t>Row deck \ Column deck</t>
  </si>
  <si>
    <t>51.3% [49.3%, 53.2%]</t>
  </si>
  <si>
    <t>15.1% [14.1%, 16.1%]</t>
  </si>
  <si>
    <t>26.5% [25.2%, 27.7%]</t>
  </si>
  <si>
    <t>16.3% [15.3%, 17.4%]</t>
  </si>
  <si>
    <t>84.9% [83.9%, 85.9%]</t>
  </si>
  <si>
    <t>50.9% [48.9%, 52.8%]</t>
  </si>
  <si>
    <t>66.2% [64.9%, 67.5%]</t>
  </si>
  <si>
    <t>51.0% [49.6%, 52.4%]</t>
  </si>
  <si>
    <t>73.5% [72.3%, 74.8%]</t>
  </si>
  <si>
    <t>33.8% [32.5%, 35.1%]</t>
  </si>
  <si>
    <t>51.6% [49.6%, 53.6%]</t>
  </si>
  <si>
    <t>32.2% [31.0%, 33.4%]</t>
  </si>
  <si>
    <t>83.7% [82.6%, 84.7%]</t>
  </si>
  <si>
    <t>49.0% [47.6%, 50.4%]</t>
  </si>
  <si>
    <t>67.8% [66.6%, 69.0%]</t>
  </si>
  <si>
    <t>52.8% [50.9%, 54.7%]</t>
  </si>
  <si>
    <t>Source: data/training/constructed-four-rl-4000/iter-004/arms-report.json</t>
  </si>
  <si>
    <t>Both mirrored model-seat runs are pooled; crashes/non-won games count as non-model wins, matching arms-report.json.</t>
  </si>
  <si>
    <t>52.8% [46.6%, 58.9%]</t>
  </si>
  <si>
    <t>17.6% [13.4%, 22.8%]</t>
  </si>
  <si>
    <t>26.8% [21.7%, 32.6%]</t>
  </si>
  <si>
    <t>18.8% [14.4%, 24.1%]</t>
  </si>
  <si>
    <t>84.0% [78.9%, 88.0%]</t>
  </si>
  <si>
    <t>41.6% [35.7%, 47.8%]</t>
  </si>
  <si>
    <t>66.4% [60.3%, 72.0%]</t>
  </si>
  <si>
    <t>39.2% [33.4%, 45.4%]</t>
  </si>
  <si>
    <t>65.2% [59.1%, 70.8%]</t>
  </si>
  <si>
    <t>16.0% [12.0%, 21.1%]</t>
  </si>
  <si>
    <t>25.2% [20.2%, 30.9%]</t>
  </si>
  <si>
    <t>86.4% [81.6%, 90.1%]</t>
  </si>
  <si>
    <t>33.6% [28.0%, 39.7%]</t>
  </si>
  <si>
    <t>69.2% [63.2%, 74.6%]</t>
  </si>
  <si>
    <t>Source: data/training/constructed-four-rl-4000/iter-009/arms-report.json</t>
  </si>
  <si>
    <t>56.8% [50.6%, 62.8%]</t>
  </si>
  <si>
    <t>14.0% [10.2%, 18.8%]</t>
  </si>
  <si>
    <t>25.6% [20.6%, 31.4%]</t>
  </si>
  <si>
    <t>20.4% [15.9%, 25.8%]</t>
  </si>
  <si>
    <t>86.8% [82.0%, 90.4%]</t>
  </si>
  <si>
    <t>42.8% [36.8%, 49.0%]</t>
  </si>
  <si>
    <t>63.6% [57.5%, 69.3%]</t>
  </si>
  <si>
    <t>50.8% [44.6%, 56.9%]</t>
  </si>
  <si>
    <t>66.8% [60.7%, 72.3%]</t>
  </si>
  <si>
    <t>28.0% [22.8%, 33.9%]</t>
  </si>
  <si>
    <t>86.0% [81.2%, 89.8%]</t>
  </si>
  <si>
    <t>30.0% [24.7%, 35.9%]</t>
  </si>
  <si>
    <t>70.0% [64.1%, 75.3%]</t>
  </si>
  <si>
    <t>42.4% [36.4%, 48.6%]</t>
  </si>
  <si>
    <t>Source: data/training/constructed-four-rl-4000/iter-014/arms-report.json</t>
  </si>
  <si>
    <t>54.4% [48.2%, 60.5%]</t>
  </si>
  <si>
    <t>21.2% [16.6%, 26.7%]</t>
  </si>
  <si>
    <t>27.2% [22.1%, 33.0%]</t>
  </si>
  <si>
    <t>82.8% [77.6%, 87.0%]</t>
  </si>
  <si>
    <t>49.2% [43.1%, 55.4%]</t>
  </si>
  <si>
    <t>65.6% [59.5%, 71.2%]</t>
  </si>
  <si>
    <t>42.0% [36.0%, 48.2%]</t>
  </si>
  <si>
    <t>75.6% [69.9%, 80.5%]</t>
  </si>
  <si>
    <t>31.2% [25.8%, 37.2%]</t>
  </si>
  <si>
    <t>29.6% [24.3%, 35.5%]</t>
  </si>
  <si>
    <t>26.0% [21.0%, 31.8%]</t>
  </si>
  <si>
    <t>84.8% [79.8%, 88.7%]</t>
  </si>
  <si>
    <t>49.6% [43.5%, 55.8%]</t>
  </si>
  <si>
    <t>74.4% [68.6%, 79.4%]</t>
  </si>
  <si>
    <t>48.4% [42.3%, 54.6%]</t>
  </si>
  <si>
    <t>Source: data/training/constructed-four-rl-4000/iter-019/arms-report.json</t>
  </si>
  <si>
    <t>53.6% [47.4%, 59.7%]</t>
  </si>
  <si>
    <t>22.8% [18.0%, 28.4%]</t>
  </si>
  <si>
    <t>28.8% [23.5%, 34.7%]</t>
  </si>
  <si>
    <t>24.0% [19.1%, 29.7%]</t>
  </si>
  <si>
    <t>87.2% [82.5%, 90.8%]</t>
  </si>
  <si>
    <t>54.8% [48.6%, 60.9%]</t>
  </si>
  <si>
    <t>68.0% [62.0%, 73.5%]</t>
  </si>
  <si>
    <t>50.4% [44.2%, 56.5%]</t>
  </si>
  <si>
    <t>34.4% [28.8%, 40.5%]</t>
  </si>
  <si>
    <t>83.2% [78.1%, 87.3%]</t>
  </si>
  <si>
    <t>47.6% [41.5%, 53.8%]</t>
  </si>
  <si>
    <t>72.8% [67.0%, 77.9%]</t>
  </si>
  <si>
    <t>50.0% [43.8%, 56.2%]</t>
  </si>
  <si>
    <t>Source: data/training/constructed-four-rl-4000/iter-029/arms-report.json</t>
  </si>
  <si>
    <t>Both mirrored model-seat runs are pooled; crashes/non-won games count as non-model wins, matching arms_report.json.</t>
  </si>
  <si>
    <t>55.8% [51.4%, 60.1%]</t>
  </si>
  <si>
    <t>25.8% [22.2%, 29.8%]</t>
  </si>
  <si>
    <t>28.6% [24.8%, 32.7%]</t>
  </si>
  <si>
    <t>21.4% [18.0%, 25.2%]</t>
  </si>
  <si>
    <t>84.8% [81.4%, 87.7%]</t>
  </si>
  <si>
    <t>49.4% [45.0%, 53.8%]</t>
  </si>
  <si>
    <t>70.6% [66.5%, 74.4%]</t>
  </si>
  <si>
    <t>47.8% [43.5%, 52.2%]</t>
  </si>
  <si>
    <t>76.4% [72.5%, 79.9%]</t>
  </si>
  <si>
    <t>26.2% [22.5%, 30.2%]</t>
  </si>
  <si>
    <t>35.2% [31.1%, 39.5%]</t>
  </si>
  <si>
    <t>34.4% [30.4%, 38.7%]</t>
  </si>
  <si>
    <t>90.4% [87.5%, 92.7%]</t>
  </si>
  <si>
    <t>48.6% [44.2%, 53.0%]</t>
  </si>
  <si>
    <t>72.2% [68.1%, 75.9%]</t>
  </si>
  <si>
    <t>50.6% [46.2%, 55.0%]</t>
  </si>
  <si>
    <t>Source: data/training/constructed-four-rl-4000/iter-039/arms-report.json</t>
  </si>
  <si>
    <t>52.6% [48.2%, 56.9%]</t>
  </si>
  <si>
    <t>20.2% [16.9%, 23.9%]</t>
  </si>
  <si>
    <t>24.8% [21.2%, 28.8%]</t>
  </si>
  <si>
    <t>22.4% [19.0%, 26.3%]</t>
  </si>
  <si>
    <t>84.0% [80.5%, 87.0%]</t>
  </si>
  <si>
    <t>69.8% [65.6%, 73.7%]</t>
  </si>
  <si>
    <t>45.6% [41.3%, 50.0%]</t>
  </si>
  <si>
    <t>80.8% [77.1%, 84.0%]</t>
  </si>
  <si>
    <t>26.4% [22.7%, 30.4%]</t>
  </si>
  <si>
    <t>38.8% [34.6%, 43.1%]</t>
  </si>
  <si>
    <t>40.2% [36.0%, 44.6%]</t>
  </si>
  <si>
    <t>88.8% [85.7%, 91.3%]</t>
  </si>
  <si>
    <t>43.2% [38.9%, 47.6%]</t>
  </si>
  <si>
    <t>73.8% [69.8%, 77.5%]</t>
  </si>
  <si>
    <t>50.2% [45.8%, 54.6%]</t>
  </si>
  <si>
    <t>RL iteration 30 comparison</t>
  </si>
  <si>
    <t>Cells are percentage-point changes in model win rate (row deck versus column deck).</t>
  </si>
  <si>
    <t>Positive values mean the iteration-30 model won more often than the reference.</t>
  </si>
  <si>
    <t>For HvH, diagonal references use the 50% mirror-match expectation; off-diagonals use the observed HvH matrix.</t>
  </si>
  <si>
    <t>References: HvH_40000 and BC_initial_8000 sheets.</t>
  </si>
  <si>
    <t>RL_iter30 - HvH_40000</t>
  </si>
  <si>
    <t>RL_iter30 - BC_initial_8000</t>
  </si>
  <si>
    <t>Model deck / reference deck</t>
  </si>
  <si>
    <t>Overall model win-rate change</t>
  </si>
  <si>
    <t>vs HvH (50%):</t>
  </si>
  <si>
    <t>vs initial BC:</t>
  </si>
  <si>
    <t>Overall model win rate: 51.14%</t>
  </si>
  <si>
    <t>RL iteration 40 comparison</t>
  </si>
  <si>
    <t>Positive values mean the iteration-40 model won more often than the reference.</t>
  </si>
  <si>
    <t>RL_iter40 - HvH_40000</t>
  </si>
  <si>
    <t>RL_iter40 - BC_initial_8000</t>
  </si>
  <si>
    <t>Overall model win rate: 50.64%</t>
  </si>
  <si>
    <t>RL iteration 40 versus iteration 30</t>
  </si>
  <si>
    <t>Cells are percentage-point changes in model win rate (RL_iter40 minus RL_iter30).</t>
  </si>
  <si>
    <t>Positive values mean the iteration-40 model performed better for that row/column matchup.</t>
  </si>
  <si>
    <t>This is the direct per-matchup comparison for checking whether training gains have plateaued.</t>
  </si>
  <si>
    <t>References: RL_iter40 and RL_iter30 sheets.</t>
  </si>
  <si>
    <t>RL_iter40 - RL_iter30</t>
  </si>
  <si>
    <t>RL_iter40 - RL_iter30:</t>
  </si>
  <si>
    <t>Overall: 50.64% versus 51.14%</t>
  </si>
  <si>
    <t>All matchup matrices and comparisons</t>
  </si>
  <si>
    <t>Actual matrices include observed win rate and 95% confidence interval.</t>
  </si>
  <si>
    <t>Comparison matrices show percentage-point changes; positive values favor the first-named model.</t>
  </si>
  <si>
    <t>Rows are the first/row deck and columns are the second/column deck. HvH diagonal comparisons use the 50% mirror expectation.</t>
  </si>
  <si>
    <t>Actual win-rate matrices (with 95% CIs)</t>
  </si>
  <si>
    <t>95% CI</t>
  </si>
  <si>
    <t>[39.5%, 41.7%]</t>
  </si>
  <si>
    <t>[50.0%, 52.2%]</t>
  </si>
  <si>
    <t>[49.5%, 51.7%]</t>
  </si>
  <si>
    <t>Comparison matrices (percentage-point changes)</t>
  </si>
  <si>
    <t>Overall model win rates and 95% CIs (formula-driven)</t>
  </si>
  <si>
    <t>Model wins</t>
  </si>
  <si>
    <t>Formatted result</t>
  </si>
  <si>
    <t>No model-versus-heuristic rate</t>
  </si>
  <si>
    <t>Formula convention: p = model wins / all scheduled games; non-decisive games remain in the denominator. Wilson 95% CI uses z = 1.96.</t>
  </si>
  <si>
    <t>Comparison formula (off-diagonal):</t>
  </si>
  <si>
    <t>Formula: =NUMBERVALUE(TEXTBEFORE('RL_iter30'!B8,"%"))/100-NUMBERVALUE(TEXTBEFORE('HvH_40000'!B8,"%"))/100</t>
  </si>
  <si>
    <t>Comparison formula (HvH diagonal):</t>
  </si>
  <si>
    <t>Formula: =NUMBERVALUE(TEXTBEFORE('RL_iter30'!B8,"%"))/100-50/100</t>
  </si>
  <si>
    <t>Overall rate formula:</t>
  </si>
  <si>
    <t>Formula: =Model wins / Games</t>
  </si>
  <si>
    <t>Wilson lower-CI formula:</t>
  </si>
  <si>
    <t>Formula: =(p+1.96^2/(2*n)-1.96*SQRT(p*(1-p)/n+1.96^2/(4*n^2)))/(1+1.96^2/n)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</si>
</sst>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%;[Red]\-0.0%;\-"/>
    <numFmt numFmtId="166" formatCode="0.00%;[Red]\-0.00%;\-"/>
  </numFmts>
  <fonts count="6" x14ac:knownFonts="1">
    <font>
      <sz val="11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 wrapText="1"/>
    </xf>
    <xf numFmtId="164" fontId="0" fillId="3" borderId="0" xfId="0" applyNumberFormat="1" applyFill="1"/>
    <xf numFmtId="0" fontId="0" fillId="3" borderId="0" xfId="0" applyFill="1"/>
    <xf numFmtId="0" fontId="2" fillId="2" borderId="0" xfId="0" applyFont="1" applyFill="1"/>
    <xf numFmtId="0" fontId="0" fillId="3" borderId="0" xfId="0" applyFill="1" applyAlignment="1">
      <alignment vertical="center" wrapText="1"/>
    </xf>
    <xf numFmtId="164" fontId="0" fillId="3" borderId="0" xfId="1" applyNumberFormat="1" applyFont="1" applyFill="1" applyAlignment="1">
      <alignment vertical="center" wrapText="1"/>
    </xf>
    <xf numFmtId="165" fontId="0" fillId="3" borderId="0" xfId="1" applyNumberFormat="1" applyFont="1" applyFill="1" applyAlignment="1">
      <alignment vertical="center" wrapText="1"/>
    </xf>
    <xf numFmtId="166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165" fontId="0" fillId="3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0" fillId="4" borderId="0" xfId="0" applyFill="1"/>
    <xf numFmtId="164" fontId="0" fillId="4" borderId="0" xfId="0" applyNumberFormat="1" applyFill="1"/>
    <xf numFmtId="0" fontId="4" fillId="2" borderId="0" xfId="0" applyFont="1" applyFill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workbookViewId="0">
      <selection activeCell="A5" sqref="A5:H13"/>
    </sheetView>
  </sheetViews>
  <sheetFormatPr defaultRowHeight="15" x14ac:dyDescent="0.25"/>
  <cols>
    <col min="1" max="1" width="20" customWidth="1"/>
    <col min="2" max="2" width="54" customWidth="1"/>
    <col min="3" max="7" width="18" customWidth="1"/>
    <col min="8" max="8" width="68" customWidth="1"/>
  </cols>
  <sheetData>
    <row r="1" spans="1:8" ht="24" customHeight="1" x14ac:dyDescent="0.3">
      <c r="A1" s="1" t="s">
        <v>45</v>
      </c>
    </row>
    <row r="2" spans="1:8" ht="36" customHeight="1" x14ac:dyDescent="0.25">
      <c r="A2" s="2" t="s">
        <v>46</v>
      </c>
    </row>
    <row r="4" spans="1:8" ht="15" customHeight="1" x14ac:dyDescent="0.25">
      <c r="A4" s="6" t="s">
        <v>47</v>
      </c>
    </row>
    <row r="5" spans="1:8" ht="30" customHeight="1" x14ac:dyDescent="0.25">
      <c r="A5" s="3" t="s">
        <v>48</v>
      </c>
      <c r="B5" s="3" t="s">
        <v>49</v>
      </c>
      <c r="C5" s="3" t="s">
        <v>38</v>
      </c>
      <c r="D5" s="3" t="s">
        <v>26</v>
      </c>
      <c r="E5" s="3" t="s">
        <v>39</v>
      </c>
      <c r="F5" s="3" t="s">
        <v>40</v>
      </c>
      <c r="G5" s="3" t="s">
        <v>50</v>
      </c>
      <c r="H5" s="3" t="s">
        <v>51</v>
      </c>
    </row>
    <row r="6" spans="1:8" ht="15" customHeight="1" x14ac:dyDescent="0.25">
      <c r="A6" t="s">
        <v>52</v>
      </c>
      <c r="B6" t="s">
        <v>53</v>
      </c>
      <c r="C6" s="5">
        <v>40000</v>
      </c>
      <c r="E6" s="5">
        <v>40000</v>
      </c>
      <c r="F6" s="5">
        <v>0</v>
      </c>
      <c r="H6" t="s">
        <v>54</v>
      </c>
    </row>
    <row r="7" spans="1:8" ht="15" customHeight="1" x14ac:dyDescent="0.25">
      <c r="A7" t="s">
        <v>55</v>
      </c>
      <c r="B7" t="s">
        <v>0</v>
      </c>
      <c r="C7" s="5">
        <v>8000</v>
      </c>
      <c r="D7" s="5">
        <v>3248</v>
      </c>
      <c r="E7" s="5">
        <v>7991</v>
      </c>
      <c r="F7" s="5">
        <v>9</v>
      </c>
      <c r="G7" s="4">
        <v>0.40600000000000003</v>
      </c>
      <c r="H7" t="s">
        <v>56</v>
      </c>
    </row>
    <row r="8" spans="1:8" ht="15" customHeight="1" x14ac:dyDescent="0.25">
      <c r="A8" t="s">
        <v>57</v>
      </c>
      <c r="B8" t="s">
        <v>58</v>
      </c>
      <c r="C8" s="5">
        <v>4000</v>
      </c>
      <c r="D8" s="5">
        <v>1749</v>
      </c>
      <c r="E8" s="5">
        <v>3994</v>
      </c>
      <c r="F8" s="5">
        <v>6</v>
      </c>
      <c r="G8" s="4">
        <v>0.43725000000000003</v>
      </c>
      <c r="H8" t="s">
        <v>59</v>
      </c>
    </row>
    <row r="9" spans="1:8" ht="15" customHeight="1" x14ac:dyDescent="0.25">
      <c r="A9" t="s">
        <v>60</v>
      </c>
      <c r="B9" t="s">
        <v>61</v>
      </c>
      <c r="C9" s="5">
        <v>4000</v>
      </c>
      <c r="D9" s="5">
        <v>1805</v>
      </c>
      <c r="E9" s="5">
        <v>3994</v>
      </c>
      <c r="F9" s="5">
        <v>6</v>
      </c>
      <c r="G9" s="4">
        <v>0.45124999999999998</v>
      </c>
      <c r="H9" t="s">
        <v>62</v>
      </c>
    </row>
    <row r="10" spans="1:8" ht="15" customHeight="1" x14ac:dyDescent="0.25">
      <c r="A10" t="s">
        <v>63</v>
      </c>
      <c r="B10" t="s">
        <v>64</v>
      </c>
      <c r="C10" s="5">
        <v>4000</v>
      </c>
      <c r="D10" s="5">
        <v>1968</v>
      </c>
      <c r="E10" s="5">
        <v>3994</v>
      </c>
      <c r="F10" s="5">
        <v>6</v>
      </c>
      <c r="G10" s="4">
        <v>0.49199999999999999</v>
      </c>
      <c r="H10" t="s">
        <v>65</v>
      </c>
    </row>
    <row r="11" spans="1:8" ht="15" customHeight="1" x14ac:dyDescent="0.25">
      <c r="A11" t="s">
        <v>66</v>
      </c>
      <c r="B11" t="s">
        <v>67</v>
      </c>
      <c r="C11" s="5">
        <v>4000</v>
      </c>
      <c r="D11" s="5">
        <v>2025</v>
      </c>
      <c r="E11" s="5">
        <v>3994</v>
      </c>
      <c r="F11" s="5">
        <v>6</v>
      </c>
      <c r="G11" s="4">
        <v>0.50624999999999998</v>
      </c>
      <c r="H11" t="s">
        <v>68</v>
      </c>
    </row>
    <row r="12" spans="1:8" ht="15" customHeight="1" x14ac:dyDescent="0.25">
      <c r="A12" t="s">
        <v>69</v>
      </c>
      <c r="B12" t="s">
        <v>70</v>
      </c>
      <c r="C12" s="5">
        <v>8000</v>
      </c>
      <c r="D12" s="5">
        <v>4091</v>
      </c>
      <c r="E12" s="5">
        <v>7993</v>
      </c>
      <c r="F12" s="5">
        <v>7</v>
      </c>
      <c r="G12" s="4">
        <v>0.51137500000000002</v>
      </c>
      <c r="H12" t="s">
        <v>71</v>
      </c>
    </row>
    <row r="13" spans="1:8" ht="15" customHeight="1" x14ac:dyDescent="0.25">
      <c r="A13" t="s">
        <v>72</v>
      </c>
      <c r="B13" t="s">
        <v>73</v>
      </c>
      <c r="C13" s="5">
        <v>8000</v>
      </c>
      <c r="D13" s="5">
        <v>4051</v>
      </c>
      <c r="E13" s="5">
        <v>7991</v>
      </c>
      <c r="F13" s="5">
        <v>9</v>
      </c>
      <c r="G13" s="4">
        <v>0.50637500000000002</v>
      </c>
      <c r="H13" t="s">
        <v>74</v>
      </c>
    </row>
    <row r="14" spans="1:8" ht="15" customHeight="1" x14ac:dyDescent="0.25">
      <c r="A14" s="6" t="s">
        <v>75</v>
      </c>
    </row>
    <row r="15" spans="1:8" ht="42" customHeight="1" x14ac:dyDescent="0.25">
      <c r="A15" s="2" t="s">
        <v>76</v>
      </c>
    </row>
    <row r="17" spans="1:8" ht="15" customHeight="1" x14ac:dyDescent="0.25">
      <c r="A17" s="6" t="s">
        <v>77</v>
      </c>
    </row>
    <row r="18" spans="1:8" ht="36" customHeight="1" x14ac:dyDescent="0.25">
      <c r="A18" s="2" t="s">
        <v>78</v>
      </c>
    </row>
    <row r="20" spans="1:8" x14ac:dyDescent="0.25">
      <c r="A20" t="s">
        <v>79</v>
      </c>
      <c r="B20" t="s">
        <v>80</v>
      </c>
      <c r="C20" s="5"/>
      <c r="D20" s="5"/>
      <c r="E20" s="5"/>
      <c r="F20" s="5"/>
      <c r="G20" s="4"/>
      <c r="H20" t="s">
        <v>81</v>
      </c>
    </row>
    <row r="21" spans="1:8" x14ac:dyDescent="0.25">
      <c r="A21" t="s">
        <v>82</v>
      </c>
      <c r="B21" t="s">
        <v>83</v>
      </c>
      <c r="C21" s="5"/>
      <c r="D21" s="5"/>
      <c r="E21" s="5"/>
      <c r="F21" s="5"/>
      <c r="G21" s="4"/>
      <c r="H21" t="s">
        <v>84</v>
      </c>
    </row>
    <row r="22" spans="1:8" x14ac:dyDescent="0.25">
      <c r="A22" t="s">
        <v>85</v>
      </c>
      <c r="B22" t="s">
        <v>86</v>
      </c>
      <c r="C22" s="5"/>
      <c r="D22" s="5"/>
      <c r="E22" s="5"/>
      <c r="F22" s="5"/>
      <c r="G22" s="4"/>
      <c r="H22" t="s">
        <v>87</v>
      </c>
    </row>
    <row r="23" spans="1:8" x14ac:dyDescent="0.25">
      <c r="A23" t="s">
        <v>88</v>
      </c>
      <c r="B23" t="s">
        <v>89</v>
      </c>
      <c r="C23" s="5"/>
      <c r="D23" s="5"/>
      <c r="E23" s="5"/>
      <c r="F23" s="5"/>
      <c r="G23" s="4"/>
      <c r="H23" t="s">
        <v>90</v>
      </c>
    </row>
    <row r="24" spans="1:8" ht="105" customHeight="1" x14ac:dyDescent="0.25">
      <c r="A24" s="2" t="s">
        <v>91</v>
      </c>
    </row>
    <row r="25" spans="1:8" ht="120" x14ac:dyDescent="0.25">
      <c r="A25" s="2" t="s">
        <v>92</v>
      </c>
    </row>
  </sheetData>
  <pageMargins left="0.25" right="0.25" top="0.5" bottom="0.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8"/>
  <sheetViews>
    <sheetView workbookViewId="0">
      <pane ySplit="7" topLeftCell="A8" activePane="bottomLeft" state="frozen"/>
      <selection pane="bottomLeft" activeCell="E12" sqref="E12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53</v>
      </c>
    </row>
    <row r="2" spans="1:5" ht="30" customHeight="1" x14ac:dyDescent="0.25">
      <c r="A2" s="2" t="s">
        <v>93</v>
      </c>
    </row>
    <row r="3" spans="1:5" ht="45" customHeight="1" x14ac:dyDescent="0.25">
      <c r="A3" s="2" t="s">
        <v>94</v>
      </c>
    </row>
    <row r="4" spans="1:5" ht="42" customHeight="1" x14ac:dyDescent="0.25">
      <c r="A4" s="2" t="s">
        <v>95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96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97</v>
      </c>
      <c r="C8" s="7" t="s">
        <v>98</v>
      </c>
      <c r="D8" s="7" t="s">
        <v>99</v>
      </c>
      <c r="E8" s="7" t="s">
        <v>100</v>
      </c>
    </row>
    <row r="9" spans="1:5" ht="30" customHeight="1" x14ac:dyDescent="0.25">
      <c r="A9" s="3" t="s">
        <v>7</v>
      </c>
      <c r="B9" s="7" t="s">
        <v>101</v>
      </c>
      <c r="C9" s="7" t="s">
        <v>102</v>
      </c>
      <c r="D9" s="7" t="s">
        <v>103</v>
      </c>
      <c r="E9" s="7" t="s">
        <v>104</v>
      </c>
    </row>
    <row r="10" spans="1:5" ht="30" customHeight="1" x14ac:dyDescent="0.25">
      <c r="A10" s="3" t="s">
        <v>8</v>
      </c>
      <c r="B10" s="7" t="s">
        <v>105</v>
      </c>
      <c r="C10" s="7" t="s">
        <v>106</v>
      </c>
      <c r="D10" s="7" t="s">
        <v>107</v>
      </c>
      <c r="E10" s="7" t="s">
        <v>108</v>
      </c>
    </row>
    <row r="11" spans="1:5" ht="30" customHeight="1" x14ac:dyDescent="0.25">
      <c r="A11" s="3" t="s">
        <v>9</v>
      </c>
      <c r="B11" s="7" t="s">
        <v>109</v>
      </c>
      <c r="C11" s="7" t="s">
        <v>110</v>
      </c>
      <c r="D11" s="7" t="s">
        <v>111</v>
      </c>
      <c r="E11" s="7" t="s">
        <v>112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96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1348</v>
      </c>
      <c r="C16" s="5">
        <v>739</v>
      </c>
      <c r="D16" s="5">
        <v>1246</v>
      </c>
      <c r="E16" s="5">
        <v>801</v>
      </c>
    </row>
    <row r="17" spans="1:5" ht="15" customHeight="1" x14ac:dyDescent="0.25">
      <c r="A17" s="3" t="s">
        <v>7</v>
      </c>
      <c r="B17" s="5">
        <v>4151</v>
      </c>
      <c r="C17" s="5">
        <v>1287</v>
      </c>
      <c r="D17" s="5">
        <v>3191</v>
      </c>
      <c r="E17" s="5">
        <v>2596</v>
      </c>
    </row>
    <row r="18" spans="1:5" ht="15" customHeight="1" x14ac:dyDescent="0.25">
      <c r="A18" s="3" t="s">
        <v>8</v>
      </c>
      <c r="B18" s="5">
        <v>3464</v>
      </c>
      <c r="C18" s="5">
        <v>1629</v>
      </c>
      <c r="D18" s="5">
        <v>1213</v>
      </c>
      <c r="E18" s="5">
        <v>1754</v>
      </c>
    </row>
    <row r="19" spans="1:5" ht="15" customHeight="1" x14ac:dyDescent="0.25">
      <c r="A19" s="3" t="s">
        <v>9</v>
      </c>
      <c r="B19" s="5">
        <v>4099</v>
      </c>
      <c r="C19" s="5">
        <v>2494</v>
      </c>
      <c r="D19" s="5">
        <v>3696</v>
      </c>
      <c r="E19" s="5">
        <v>1389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96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2630</v>
      </c>
      <c r="C23" s="5">
        <v>4890</v>
      </c>
      <c r="D23" s="5">
        <v>4710</v>
      </c>
      <c r="E23" s="5">
        <v>4900</v>
      </c>
    </row>
    <row r="24" spans="1:5" ht="15" customHeight="1" x14ac:dyDescent="0.25">
      <c r="A24" s="3" t="s">
        <v>7</v>
      </c>
      <c r="B24" s="5">
        <v>4890</v>
      </c>
      <c r="C24" s="5">
        <v>2530</v>
      </c>
      <c r="D24" s="5">
        <v>4820</v>
      </c>
      <c r="E24" s="5">
        <v>5090</v>
      </c>
    </row>
    <row r="25" spans="1:5" ht="15" customHeight="1" x14ac:dyDescent="0.25">
      <c r="A25" s="3" t="s">
        <v>8</v>
      </c>
      <c r="B25" s="5">
        <v>4710</v>
      </c>
      <c r="C25" s="5">
        <v>4820</v>
      </c>
      <c r="D25" s="5">
        <v>2350</v>
      </c>
      <c r="E25" s="5">
        <v>5450</v>
      </c>
    </row>
    <row r="26" spans="1:5" ht="15" customHeight="1" x14ac:dyDescent="0.25">
      <c r="A26" s="3" t="s">
        <v>9</v>
      </c>
      <c r="B26" s="5">
        <v>4900</v>
      </c>
      <c r="C26" s="5">
        <v>5090</v>
      </c>
      <c r="D26" s="5">
        <v>5450</v>
      </c>
      <c r="E26" s="5">
        <v>2630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96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2630</v>
      </c>
      <c r="C30" s="5">
        <v>4890</v>
      </c>
      <c r="D30" s="5">
        <v>4710</v>
      </c>
      <c r="E30" s="5">
        <v>4900</v>
      </c>
    </row>
    <row r="31" spans="1:5" ht="15" customHeight="1" x14ac:dyDescent="0.25">
      <c r="A31" s="3" t="s">
        <v>7</v>
      </c>
      <c r="B31" s="5">
        <v>4890</v>
      </c>
      <c r="C31" s="5">
        <v>2530</v>
      </c>
      <c r="D31" s="5">
        <v>4820</v>
      </c>
      <c r="E31" s="5">
        <v>5090</v>
      </c>
    </row>
    <row r="32" spans="1:5" ht="15" customHeight="1" x14ac:dyDescent="0.25">
      <c r="A32" s="3" t="s">
        <v>8</v>
      </c>
      <c r="B32" s="5">
        <v>4710</v>
      </c>
      <c r="C32" s="5">
        <v>4820</v>
      </c>
      <c r="D32" s="5">
        <v>2350</v>
      </c>
      <c r="E32" s="5">
        <v>5450</v>
      </c>
    </row>
    <row r="33" spans="1:5" ht="15" customHeight="1" x14ac:dyDescent="0.25">
      <c r="A33" s="3" t="s">
        <v>9</v>
      </c>
      <c r="B33" s="5">
        <v>4900</v>
      </c>
      <c r="C33" s="5">
        <v>5090</v>
      </c>
      <c r="D33" s="5">
        <v>5450</v>
      </c>
      <c r="E33" s="5">
        <v>2630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96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0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0</v>
      </c>
      <c r="C39" s="5">
        <v>0</v>
      </c>
      <c r="D39" s="5">
        <v>0</v>
      </c>
      <c r="E39" s="5">
        <v>0</v>
      </c>
    </row>
    <row r="40" spans="1:5" ht="15" customHeight="1" x14ac:dyDescent="0.25">
      <c r="A40" s="3" t="s">
        <v>9</v>
      </c>
      <c r="B40" s="5">
        <v>0</v>
      </c>
      <c r="C40" s="5">
        <v>0</v>
      </c>
      <c r="D40" s="5">
        <v>0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96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15</v>
      </c>
      <c r="D45" s="5">
        <v>0</v>
      </c>
      <c r="E45" s="5">
        <v>1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1</v>
      </c>
      <c r="D47" s="5">
        <v>0</v>
      </c>
      <c r="E47" s="5">
        <v>2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96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0.51254752851711027</v>
      </c>
      <c r="C51" s="4">
        <v>0.1511247443762781</v>
      </c>
      <c r="D51" s="4">
        <v>0.26454352441613588</v>
      </c>
      <c r="E51" s="4">
        <v>0.163469387755102</v>
      </c>
    </row>
    <row r="52" spans="1:5" ht="15" customHeight="1" x14ac:dyDescent="0.25">
      <c r="A52" s="3" t="s">
        <v>7</v>
      </c>
      <c r="B52" s="4">
        <v>0.8488752556237219</v>
      </c>
      <c r="C52" s="4">
        <v>0.50869565217391299</v>
      </c>
      <c r="D52" s="4">
        <v>0.66203319502074687</v>
      </c>
      <c r="E52" s="4">
        <v>0.51001964636542241</v>
      </c>
    </row>
    <row r="53" spans="1:5" ht="15" customHeight="1" x14ac:dyDescent="0.25">
      <c r="A53" s="3" t="s">
        <v>8</v>
      </c>
      <c r="B53" s="4">
        <v>0.73545647558386407</v>
      </c>
      <c r="C53" s="4">
        <v>0.33796680497925308</v>
      </c>
      <c r="D53" s="4">
        <v>0.51617021276595743</v>
      </c>
      <c r="E53" s="4">
        <v>0.32183486238532111</v>
      </c>
    </row>
    <row r="54" spans="1:5" ht="15" customHeight="1" x14ac:dyDescent="0.25">
      <c r="A54" s="3" t="s">
        <v>9</v>
      </c>
      <c r="B54" s="4">
        <v>0.836530612244898</v>
      </c>
      <c r="C54" s="4">
        <v>0.48998035363457759</v>
      </c>
      <c r="D54" s="4">
        <v>0.67816513761467889</v>
      </c>
      <c r="E54" s="4">
        <v>0.52813688212927756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96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0.49344007374704391</v>
      </c>
      <c r="C58" s="4">
        <v>0.14135996483369809</v>
      </c>
      <c r="D58" s="4">
        <v>0.2521421479787147</v>
      </c>
      <c r="E58" s="4">
        <v>0.15337968630269941</v>
      </c>
    </row>
    <row r="59" spans="1:5" ht="15" customHeight="1" x14ac:dyDescent="0.25">
      <c r="A59" s="3" t="s">
        <v>7</v>
      </c>
      <c r="B59" s="4">
        <v>0.8385627714040228</v>
      </c>
      <c r="C59" s="4">
        <v>0.48921709342738479</v>
      </c>
      <c r="D59" s="4">
        <v>0.64855515885569059</v>
      </c>
      <c r="E59" s="4">
        <v>0.49628405980307688</v>
      </c>
    </row>
    <row r="60" spans="1:5" ht="15" customHeight="1" x14ac:dyDescent="0.25">
      <c r="A60" s="3" t="s">
        <v>8</v>
      </c>
      <c r="B60" s="4">
        <v>0.72267133725588173</v>
      </c>
      <c r="C60" s="4">
        <v>0.32474683859180931</v>
      </c>
      <c r="D60" s="4">
        <v>0.49595538922644689</v>
      </c>
      <c r="E60" s="4">
        <v>0.30956087788474551</v>
      </c>
    </row>
    <row r="61" spans="1:5" ht="15" customHeight="1" x14ac:dyDescent="0.25">
      <c r="A61" s="3" t="s">
        <v>9</v>
      </c>
      <c r="B61" s="4">
        <v>0.82591366353146634</v>
      </c>
      <c r="C61" s="4">
        <v>0.47625987946205489</v>
      </c>
      <c r="D61" s="4">
        <v>0.66564016890614719</v>
      </c>
      <c r="E61" s="4">
        <v>0.50903089988046224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96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0.53161838213645929</v>
      </c>
      <c r="C65" s="4">
        <v>0.1614372285959772</v>
      </c>
      <c r="D65" s="4">
        <v>0.27732866274411833</v>
      </c>
      <c r="E65" s="4">
        <v>0.17408633646853369</v>
      </c>
    </row>
    <row r="66" spans="1:10" ht="15" customHeight="1" x14ac:dyDescent="0.25">
      <c r="A66" s="3" t="s">
        <v>7</v>
      </c>
      <c r="B66" s="4">
        <v>0.85864003516630183</v>
      </c>
      <c r="C66" s="4">
        <v>0.52814784463802922</v>
      </c>
      <c r="D66" s="4">
        <v>0.67525316140819069</v>
      </c>
      <c r="E66" s="4">
        <v>0.52374012053794505</v>
      </c>
    </row>
    <row r="67" spans="1:10" ht="15" customHeight="1" x14ac:dyDescent="0.25">
      <c r="A67" s="3" t="s">
        <v>8</v>
      </c>
      <c r="B67" s="4">
        <v>0.7478578520212853</v>
      </c>
      <c r="C67" s="4">
        <v>0.35144484114430941</v>
      </c>
      <c r="D67" s="4">
        <v>0.53633225687444075</v>
      </c>
      <c r="E67" s="4">
        <v>0.33435983109385281</v>
      </c>
    </row>
    <row r="68" spans="1:10" ht="15" customHeight="1" x14ac:dyDescent="0.25">
      <c r="A68" s="3" t="s">
        <v>9</v>
      </c>
      <c r="B68" s="4">
        <v>0.84662031369730073</v>
      </c>
      <c r="C68" s="4">
        <v>0.50371594019692312</v>
      </c>
      <c r="D68" s="4">
        <v>0.69043912211525449</v>
      </c>
      <c r="E68" s="4">
        <v>0.54716078907042376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1348</v>
      </c>
      <c r="D73" s="5">
        <v>2630</v>
      </c>
      <c r="E73" s="5">
        <v>2630</v>
      </c>
      <c r="F73" s="5">
        <v>0</v>
      </c>
      <c r="G73" s="5">
        <v>0</v>
      </c>
      <c r="H73" s="4">
        <v>0.51254752851711027</v>
      </c>
      <c r="I73" s="4">
        <v>0.49344007374704391</v>
      </c>
      <c r="J73" s="4">
        <v>0.53161838213645929</v>
      </c>
    </row>
    <row r="74" spans="1:10" ht="15" customHeight="1" x14ac:dyDescent="0.25">
      <c r="A74" s="3" t="s">
        <v>6</v>
      </c>
      <c r="B74" s="3" t="s">
        <v>7</v>
      </c>
      <c r="C74" s="5">
        <v>739</v>
      </c>
      <c r="D74" s="5">
        <v>4890</v>
      </c>
      <c r="E74" s="5">
        <v>4890</v>
      </c>
      <c r="F74" s="5">
        <v>0</v>
      </c>
      <c r="G74" s="5">
        <v>0</v>
      </c>
      <c r="H74" s="4">
        <v>0.1511247443762781</v>
      </c>
      <c r="I74" s="4">
        <v>0.14135996483369809</v>
      </c>
      <c r="J74" s="4">
        <v>0.1614372285959772</v>
      </c>
    </row>
    <row r="75" spans="1:10" ht="15" customHeight="1" x14ac:dyDescent="0.25">
      <c r="A75" s="3" t="s">
        <v>6</v>
      </c>
      <c r="B75" s="3" t="s">
        <v>8</v>
      </c>
      <c r="C75" s="5">
        <v>1246</v>
      </c>
      <c r="D75" s="5">
        <v>4710</v>
      </c>
      <c r="E75" s="5">
        <v>4710</v>
      </c>
      <c r="F75" s="5">
        <v>0</v>
      </c>
      <c r="G75" s="5">
        <v>0</v>
      </c>
      <c r="H75" s="4">
        <v>0.26454352441613588</v>
      </c>
      <c r="I75" s="4">
        <v>0.2521421479787147</v>
      </c>
      <c r="J75" s="4">
        <v>0.27732866274411833</v>
      </c>
    </row>
    <row r="76" spans="1:10" ht="15" customHeight="1" x14ac:dyDescent="0.25">
      <c r="A76" s="3" t="s">
        <v>6</v>
      </c>
      <c r="B76" s="3" t="s">
        <v>9</v>
      </c>
      <c r="C76" s="5">
        <v>801</v>
      </c>
      <c r="D76" s="5">
        <v>4900</v>
      </c>
      <c r="E76" s="5">
        <v>4900</v>
      </c>
      <c r="F76" s="5">
        <v>0</v>
      </c>
      <c r="G76" s="5">
        <v>0</v>
      </c>
      <c r="H76" s="4">
        <v>0.163469387755102</v>
      </c>
      <c r="I76" s="4">
        <v>0.15337968630269941</v>
      </c>
      <c r="J76" s="4">
        <v>0.17408633646853369</v>
      </c>
    </row>
    <row r="77" spans="1:10" ht="15" customHeight="1" x14ac:dyDescent="0.25">
      <c r="A77" s="3" t="s">
        <v>7</v>
      </c>
      <c r="B77" s="3" t="s">
        <v>6</v>
      </c>
      <c r="C77" s="5">
        <v>4151</v>
      </c>
      <c r="D77" s="5">
        <v>4890</v>
      </c>
      <c r="E77" s="5">
        <v>4890</v>
      </c>
      <c r="F77" s="5">
        <v>0</v>
      </c>
      <c r="G77" s="5">
        <v>0</v>
      </c>
      <c r="H77" s="4">
        <v>0.8488752556237219</v>
      </c>
      <c r="I77" s="4">
        <v>0.8385627714040228</v>
      </c>
      <c r="J77" s="4">
        <v>0.85864003516630183</v>
      </c>
    </row>
    <row r="78" spans="1:10" ht="15" customHeight="1" x14ac:dyDescent="0.25">
      <c r="A78" s="3" t="s">
        <v>7</v>
      </c>
      <c r="B78" s="3" t="s">
        <v>7</v>
      </c>
      <c r="C78" s="5">
        <v>1287</v>
      </c>
      <c r="D78" s="5">
        <v>2530</v>
      </c>
      <c r="E78" s="5">
        <v>2530</v>
      </c>
      <c r="F78" s="5">
        <v>0</v>
      </c>
      <c r="G78" s="5">
        <v>15</v>
      </c>
      <c r="H78" s="4">
        <v>0.50869565217391299</v>
      </c>
      <c r="I78" s="4">
        <v>0.48921709342738479</v>
      </c>
      <c r="J78" s="4">
        <v>0.52814784463802922</v>
      </c>
    </row>
    <row r="79" spans="1:10" ht="15" customHeight="1" x14ac:dyDescent="0.25">
      <c r="A79" s="3" t="s">
        <v>7</v>
      </c>
      <c r="B79" s="3" t="s">
        <v>8</v>
      </c>
      <c r="C79" s="5">
        <v>3191</v>
      </c>
      <c r="D79" s="5">
        <v>4820</v>
      </c>
      <c r="E79" s="5">
        <v>4820</v>
      </c>
      <c r="F79" s="5">
        <v>0</v>
      </c>
      <c r="G79" s="5">
        <v>0</v>
      </c>
      <c r="H79" s="4">
        <v>0.66203319502074687</v>
      </c>
      <c r="I79" s="4">
        <v>0.64855515885569059</v>
      </c>
      <c r="J79" s="4">
        <v>0.67525316140819069</v>
      </c>
    </row>
    <row r="80" spans="1:10" ht="15" customHeight="1" x14ac:dyDescent="0.25">
      <c r="A80" s="3" t="s">
        <v>7</v>
      </c>
      <c r="B80" s="3" t="s">
        <v>9</v>
      </c>
      <c r="C80" s="5">
        <v>2596</v>
      </c>
      <c r="D80" s="5">
        <v>5090</v>
      </c>
      <c r="E80" s="5">
        <v>5090</v>
      </c>
      <c r="F80" s="5">
        <v>0</v>
      </c>
      <c r="G80" s="5">
        <v>1</v>
      </c>
      <c r="H80" s="4">
        <v>0.51001964636542241</v>
      </c>
      <c r="I80" s="4">
        <v>0.49628405980307688</v>
      </c>
      <c r="J80" s="4">
        <v>0.52374012053794505</v>
      </c>
    </row>
    <row r="81" spans="1:10" ht="15" customHeight="1" x14ac:dyDescent="0.25">
      <c r="A81" s="3" t="s">
        <v>8</v>
      </c>
      <c r="B81" s="3" t="s">
        <v>6</v>
      </c>
      <c r="C81" s="5">
        <v>3464</v>
      </c>
      <c r="D81" s="5">
        <v>4710</v>
      </c>
      <c r="E81" s="5">
        <v>4710</v>
      </c>
      <c r="F81" s="5">
        <v>0</v>
      </c>
      <c r="G81" s="5">
        <v>0</v>
      </c>
      <c r="H81" s="4">
        <v>0.73545647558386407</v>
      </c>
      <c r="I81" s="4">
        <v>0.72267133725588173</v>
      </c>
      <c r="J81" s="4">
        <v>0.7478578520212853</v>
      </c>
    </row>
    <row r="82" spans="1:10" ht="15" customHeight="1" x14ac:dyDescent="0.25">
      <c r="A82" s="3" t="s">
        <v>8</v>
      </c>
      <c r="B82" s="3" t="s">
        <v>7</v>
      </c>
      <c r="C82" s="5">
        <v>1629</v>
      </c>
      <c r="D82" s="5">
        <v>4820</v>
      </c>
      <c r="E82" s="5">
        <v>4820</v>
      </c>
      <c r="F82" s="5">
        <v>0</v>
      </c>
      <c r="G82" s="5">
        <v>0</v>
      </c>
      <c r="H82" s="4">
        <v>0.33796680497925308</v>
      </c>
      <c r="I82" s="4">
        <v>0.32474683859180931</v>
      </c>
      <c r="J82" s="4">
        <v>0.35144484114430941</v>
      </c>
    </row>
    <row r="83" spans="1:10" ht="15" customHeight="1" x14ac:dyDescent="0.25">
      <c r="A83" s="3" t="s">
        <v>8</v>
      </c>
      <c r="B83" s="3" t="s">
        <v>8</v>
      </c>
      <c r="C83" s="5">
        <v>1213</v>
      </c>
      <c r="D83" s="5">
        <v>2350</v>
      </c>
      <c r="E83" s="5">
        <v>2350</v>
      </c>
      <c r="F83" s="5">
        <v>0</v>
      </c>
      <c r="G83" s="5">
        <v>0</v>
      </c>
      <c r="H83" s="4">
        <v>0.51617021276595743</v>
      </c>
      <c r="I83" s="4">
        <v>0.49595538922644689</v>
      </c>
      <c r="J83" s="4">
        <v>0.53633225687444075</v>
      </c>
    </row>
    <row r="84" spans="1:10" ht="15" customHeight="1" x14ac:dyDescent="0.25">
      <c r="A84" s="3" t="s">
        <v>8</v>
      </c>
      <c r="B84" s="3" t="s">
        <v>9</v>
      </c>
      <c r="C84" s="5">
        <v>1754</v>
      </c>
      <c r="D84" s="5">
        <v>5450</v>
      </c>
      <c r="E84" s="5">
        <v>5450</v>
      </c>
      <c r="F84" s="5">
        <v>0</v>
      </c>
      <c r="G84" s="5">
        <v>0</v>
      </c>
      <c r="H84" s="4">
        <v>0.32183486238532111</v>
      </c>
      <c r="I84" s="4">
        <v>0.30956087788474551</v>
      </c>
      <c r="J84" s="4">
        <v>0.33435983109385281</v>
      </c>
    </row>
    <row r="85" spans="1:10" ht="15" customHeight="1" x14ac:dyDescent="0.25">
      <c r="A85" s="3" t="s">
        <v>9</v>
      </c>
      <c r="B85" s="3" t="s">
        <v>6</v>
      </c>
      <c r="C85" s="5">
        <v>4099</v>
      </c>
      <c r="D85" s="5">
        <v>4900</v>
      </c>
      <c r="E85" s="5">
        <v>4900</v>
      </c>
      <c r="F85" s="5">
        <v>0</v>
      </c>
      <c r="G85" s="5">
        <v>0</v>
      </c>
      <c r="H85" s="4">
        <v>0.836530612244898</v>
      </c>
      <c r="I85" s="4">
        <v>0.82591366353146634</v>
      </c>
      <c r="J85" s="4">
        <v>0.84662031369730073</v>
      </c>
    </row>
    <row r="86" spans="1:10" ht="15" customHeight="1" x14ac:dyDescent="0.25">
      <c r="A86" s="3" t="s">
        <v>9</v>
      </c>
      <c r="B86" s="3" t="s">
        <v>7</v>
      </c>
      <c r="C86" s="5">
        <v>2494</v>
      </c>
      <c r="D86" s="5">
        <v>5090</v>
      </c>
      <c r="E86" s="5">
        <v>5090</v>
      </c>
      <c r="F86" s="5">
        <v>0</v>
      </c>
      <c r="G86" s="5">
        <v>1</v>
      </c>
      <c r="H86" s="4">
        <v>0.48998035363457759</v>
      </c>
      <c r="I86" s="4">
        <v>0.47625987946205489</v>
      </c>
      <c r="J86" s="4">
        <v>0.50371594019692312</v>
      </c>
    </row>
    <row r="87" spans="1:10" ht="15" customHeight="1" x14ac:dyDescent="0.25">
      <c r="A87" s="3" t="s">
        <v>9</v>
      </c>
      <c r="B87" s="3" t="s">
        <v>8</v>
      </c>
      <c r="C87" s="5">
        <v>3696</v>
      </c>
      <c r="D87" s="5">
        <v>5450</v>
      </c>
      <c r="E87" s="5">
        <v>5450</v>
      </c>
      <c r="F87" s="5">
        <v>0</v>
      </c>
      <c r="G87" s="5">
        <v>0</v>
      </c>
      <c r="H87" s="4">
        <v>0.67816513761467889</v>
      </c>
      <c r="I87" s="4">
        <v>0.66564016890614719</v>
      </c>
      <c r="J87" s="4">
        <v>0.69043912211525449</v>
      </c>
    </row>
    <row r="88" spans="1:10" ht="15" customHeight="1" x14ac:dyDescent="0.25">
      <c r="A88" s="3" t="s">
        <v>9</v>
      </c>
      <c r="B88" s="3" t="s">
        <v>9</v>
      </c>
      <c r="C88" s="5">
        <v>1389</v>
      </c>
      <c r="D88" s="5">
        <v>2630</v>
      </c>
      <c r="E88" s="5">
        <v>2630</v>
      </c>
      <c r="F88" s="5">
        <v>0</v>
      </c>
      <c r="G88" s="5">
        <v>2</v>
      </c>
      <c r="H88" s="4">
        <v>0.52813688212927756</v>
      </c>
      <c r="I88" s="4">
        <v>0.50903089988046224</v>
      </c>
      <c r="J88" s="4">
        <v>0.54716078907042376</v>
      </c>
    </row>
  </sheetData>
  <pageMargins left="0.25" right="0.25" top="0.5" bottom="0.5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8"/>
  <sheetViews>
    <sheetView workbookViewId="0">
      <pane ySplit="7" topLeftCell="A8" activePane="bottomLeft" state="frozen"/>
      <selection pane="bottomLeft" activeCell="A4" sqref="A4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0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2</v>
      </c>
    </row>
    <row r="4" spans="1:5" ht="42" customHeight="1" x14ac:dyDescent="0.25">
      <c r="A4" s="2" t="s">
        <v>3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10</v>
      </c>
      <c r="C8" s="7" t="s">
        <v>11</v>
      </c>
      <c r="D8" s="7" t="s">
        <v>12</v>
      </c>
      <c r="E8" s="7" t="s">
        <v>13</v>
      </c>
    </row>
    <row r="9" spans="1:5" ht="30" customHeight="1" x14ac:dyDescent="0.25">
      <c r="A9" s="3" t="s">
        <v>7</v>
      </c>
      <c r="B9" s="7" t="s">
        <v>14</v>
      </c>
      <c r="C9" s="7" t="s">
        <v>15</v>
      </c>
      <c r="D9" s="7" t="s">
        <v>16</v>
      </c>
      <c r="E9" s="7" t="s">
        <v>17</v>
      </c>
    </row>
    <row r="10" spans="1:5" ht="30" customHeight="1" x14ac:dyDescent="0.25">
      <c r="A10" s="3" t="s">
        <v>8</v>
      </c>
      <c r="B10" s="7" t="s">
        <v>18</v>
      </c>
      <c r="C10" s="7" t="s">
        <v>19</v>
      </c>
      <c r="D10" s="7" t="s">
        <v>20</v>
      </c>
      <c r="E10" s="7" t="s">
        <v>21</v>
      </c>
    </row>
    <row r="11" spans="1:5" ht="30" customHeight="1" x14ac:dyDescent="0.25">
      <c r="A11" s="3" t="s">
        <v>9</v>
      </c>
      <c r="B11" s="7" t="s">
        <v>22</v>
      </c>
      <c r="C11" s="7" t="s">
        <v>23</v>
      </c>
      <c r="D11" s="7" t="s">
        <v>24</v>
      </c>
      <c r="E11" s="7" t="s">
        <v>25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254</v>
      </c>
      <c r="C16" s="5">
        <v>80</v>
      </c>
      <c r="D16" s="5">
        <v>104</v>
      </c>
      <c r="E16" s="5">
        <v>75</v>
      </c>
    </row>
    <row r="17" spans="1:5" ht="15" customHeight="1" x14ac:dyDescent="0.25">
      <c r="A17" s="3" t="s">
        <v>7</v>
      </c>
      <c r="B17" s="5">
        <v>468</v>
      </c>
      <c r="C17" s="5">
        <v>117</v>
      </c>
      <c r="D17" s="5">
        <v>306</v>
      </c>
      <c r="E17" s="5">
        <v>198</v>
      </c>
    </row>
    <row r="18" spans="1:5" ht="15" customHeight="1" x14ac:dyDescent="0.25">
      <c r="A18" s="3" t="s">
        <v>8</v>
      </c>
      <c r="B18" s="5">
        <v>236</v>
      </c>
      <c r="C18" s="5">
        <v>96</v>
      </c>
      <c r="D18" s="5">
        <v>60</v>
      </c>
      <c r="E18" s="5">
        <v>91</v>
      </c>
    </row>
    <row r="19" spans="1:5" ht="15" customHeight="1" x14ac:dyDescent="0.25">
      <c r="A19" s="3" t="s">
        <v>9</v>
      </c>
      <c r="B19" s="5">
        <v>358</v>
      </c>
      <c r="C19" s="5">
        <v>237</v>
      </c>
      <c r="D19" s="5">
        <v>398</v>
      </c>
      <c r="E19" s="5">
        <v>170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520</v>
      </c>
      <c r="C23" s="5">
        <v>580</v>
      </c>
      <c r="D23" s="5">
        <v>440</v>
      </c>
      <c r="E23" s="5">
        <v>440</v>
      </c>
    </row>
    <row r="24" spans="1:5" ht="15" customHeight="1" x14ac:dyDescent="0.25">
      <c r="A24" s="3" t="s">
        <v>7</v>
      </c>
      <c r="B24" s="5">
        <v>580</v>
      </c>
      <c r="C24" s="5">
        <v>340</v>
      </c>
      <c r="D24" s="5">
        <v>530</v>
      </c>
      <c r="E24" s="5">
        <v>560</v>
      </c>
    </row>
    <row r="25" spans="1:5" ht="15" customHeight="1" x14ac:dyDescent="0.25">
      <c r="A25" s="3" t="s">
        <v>8</v>
      </c>
      <c r="B25" s="5">
        <v>440</v>
      </c>
      <c r="C25" s="5">
        <v>530</v>
      </c>
      <c r="D25" s="5">
        <v>360</v>
      </c>
      <c r="E25" s="5">
        <v>610</v>
      </c>
    </row>
    <row r="26" spans="1:5" ht="15" customHeight="1" x14ac:dyDescent="0.25">
      <c r="A26" s="3" t="s">
        <v>9</v>
      </c>
      <c r="B26" s="5">
        <v>440</v>
      </c>
      <c r="C26" s="5">
        <v>560</v>
      </c>
      <c r="D26" s="5">
        <v>610</v>
      </c>
      <c r="E26" s="5">
        <v>460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516</v>
      </c>
      <c r="C30" s="5">
        <v>580</v>
      </c>
      <c r="D30" s="5">
        <v>440</v>
      </c>
      <c r="E30" s="5">
        <v>440</v>
      </c>
    </row>
    <row r="31" spans="1:5" ht="15" customHeight="1" x14ac:dyDescent="0.25">
      <c r="A31" s="3" t="s">
        <v>7</v>
      </c>
      <c r="B31" s="5">
        <v>580</v>
      </c>
      <c r="C31" s="5">
        <v>338</v>
      </c>
      <c r="D31" s="5">
        <v>530</v>
      </c>
      <c r="E31" s="5">
        <v>560</v>
      </c>
    </row>
    <row r="32" spans="1:5" ht="15" customHeight="1" x14ac:dyDescent="0.25">
      <c r="A32" s="3" t="s">
        <v>8</v>
      </c>
      <c r="B32" s="5">
        <v>440</v>
      </c>
      <c r="C32" s="5">
        <v>527</v>
      </c>
      <c r="D32" s="5">
        <v>360</v>
      </c>
      <c r="E32" s="5">
        <v>610</v>
      </c>
    </row>
    <row r="33" spans="1:5" ht="15" customHeight="1" x14ac:dyDescent="0.25">
      <c r="A33" s="3" t="s">
        <v>9</v>
      </c>
      <c r="B33" s="5">
        <v>440</v>
      </c>
      <c r="C33" s="5">
        <v>560</v>
      </c>
      <c r="D33" s="5">
        <v>610</v>
      </c>
      <c r="E33" s="5">
        <v>460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4</v>
      </c>
      <c r="C37" s="5">
        <v>0</v>
      </c>
      <c r="D37" s="5">
        <v>0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2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0</v>
      </c>
      <c r="C39" s="5">
        <v>3</v>
      </c>
      <c r="D39" s="5">
        <v>0</v>
      </c>
      <c r="E39" s="5">
        <v>0</v>
      </c>
    </row>
    <row r="40" spans="1:5" ht="15" customHeight="1" x14ac:dyDescent="0.25">
      <c r="A40" s="3" t="s">
        <v>9</v>
      </c>
      <c r="B40" s="5">
        <v>0</v>
      </c>
      <c r="C40" s="5">
        <v>0</v>
      </c>
      <c r="D40" s="5">
        <v>0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2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1</v>
      </c>
      <c r="D47" s="5">
        <v>0</v>
      </c>
      <c r="E47" s="5">
        <v>1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0.48846153846153839</v>
      </c>
      <c r="C51" s="4">
        <v>0.13793103448275859</v>
      </c>
      <c r="D51" s="4">
        <v>0.23636363636363639</v>
      </c>
      <c r="E51" s="4">
        <v>0.17045454545454539</v>
      </c>
    </row>
    <row r="52" spans="1:5" ht="15" customHeight="1" x14ac:dyDescent="0.25">
      <c r="A52" s="3" t="s">
        <v>7</v>
      </c>
      <c r="B52" s="4">
        <v>0.80689655172413788</v>
      </c>
      <c r="C52" s="4">
        <v>0.34411764705882347</v>
      </c>
      <c r="D52" s="4">
        <v>0.57735849056603772</v>
      </c>
      <c r="E52" s="4">
        <v>0.35357142857142859</v>
      </c>
    </row>
    <row r="53" spans="1:5" ht="15" customHeight="1" x14ac:dyDescent="0.25">
      <c r="A53" s="3" t="s">
        <v>8</v>
      </c>
      <c r="B53" s="4">
        <v>0.53636363636363638</v>
      </c>
      <c r="C53" s="4">
        <v>0.1811320754716981</v>
      </c>
      <c r="D53" s="4">
        <v>0.16666666666666671</v>
      </c>
      <c r="E53" s="4">
        <v>0.14918032786885249</v>
      </c>
    </row>
    <row r="54" spans="1:5" ht="15" customHeight="1" x14ac:dyDescent="0.25">
      <c r="A54" s="3" t="s">
        <v>9</v>
      </c>
      <c r="B54" s="4">
        <v>0.8136363636363636</v>
      </c>
      <c r="C54" s="4">
        <v>0.42321428571428571</v>
      </c>
      <c r="D54" s="4">
        <v>0.65245901639344261</v>
      </c>
      <c r="E54" s="4">
        <v>0.36956521739130432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0.44574028179786279</v>
      </c>
      <c r="C58" s="4">
        <v>0.1122413918927581</v>
      </c>
      <c r="D58" s="4">
        <v>0.19905497835111841</v>
      </c>
      <c r="E58" s="4">
        <v>0.1382075687295691</v>
      </c>
    </row>
    <row r="59" spans="1:5" ht="15" customHeight="1" x14ac:dyDescent="0.25">
      <c r="A59" s="3" t="s">
        <v>7</v>
      </c>
      <c r="B59" s="4">
        <v>0.77279491318192017</v>
      </c>
      <c r="C59" s="4">
        <v>0.29561377673786121</v>
      </c>
      <c r="D59" s="4">
        <v>0.53489458308891236</v>
      </c>
      <c r="E59" s="4">
        <v>0.31509540754610488</v>
      </c>
    </row>
    <row r="60" spans="1:5" ht="15" customHeight="1" x14ac:dyDescent="0.25">
      <c r="A60" s="3" t="s">
        <v>8</v>
      </c>
      <c r="B60" s="4">
        <v>0.4896548289791624</v>
      </c>
      <c r="C60" s="4">
        <v>0.15067632659463559</v>
      </c>
      <c r="D60" s="4">
        <v>0.13173107609879639</v>
      </c>
      <c r="E60" s="4">
        <v>0.12310692388087049</v>
      </c>
    </row>
    <row r="61" spans="1:5" ht="15" customHeight="1" x14ac:dyDescent="0.25">
      <c r="A61" s="3" t="s">
        <v>9</v>
      </c>
      <c r="B61" s="4">
        <v>0.77459347789525623</v>
      </c>
      <c r="C61" s="4">
        <v>0.38295315465357288</v>
      </c>
      <c r="D61" s="4">
        <v>0.61382249122940957</v>
      </c>
      <c r="E61" s="4">
        <v>0.32670544000859641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0.53135202390276803</v>
      </c>
      <c r="C65" s="4">
        <v>0.16838523430065869</v>
      </c>
      <c r="D65" s="4">
        <v>0.27823585289201519</v>
      </c>
      <c r="E65" s="4">
        <v>0.20840597032434791</v>
      </c>
    </row>
    <row r="66" spans="1:10" ht="15" customHeight="1" x14ac:dyDescent="0.25">
      <c r="A66" s="3" t="s">
        <v>7</v>
      </c>
      <c r="B66" s="4">
        <v>0.83695966080651674</v>
      </c>
      <c r="C66" s="4">
        <v>0.39610460892872401</v>
      </c>
      <c r="D66" s="4">
        <v>0.61870907328716929</v>
      </c>
      <c r="E66" s="4">
        <v>0.39404268892694422</v>
      </c>
    </row>
    <row r="67" spans="1:10" ht="15" customHeight="1" x14ac:dyDescent="0.25">
      <c r="A67" s="3" t="s">
        <v>8</v>
      </c>
      <c r="B67" s="4">
        <v>0.58244298740109501</v>
      </c>
      <c r="C67" s="4">
        <v>0.21617689468444279</v>
      </c>
      <c r="D67" s="4">
        <v>0.20864096182699929</v>
      </c>
      <c r="E67" s="4">
        <v>0.17964463541870959</v>
      </c>
    </row>
    <row r="68" spans="1:10" ht="15" customHeight="1" x14ac:dyDescent="0.25">
      <c r="A68" s="3" t="s">
        <v>9</v>
      </c>
      <c r="B68" s="4">
        <v>0.8472501883844642</v>
      </c>
      <c r="C68" s="4">
        <v>0.46452170081400163</v>
      </c>
      <c r="D68" s="4">
        <v>0.68918734514974489</v>
      </c>
      <c r="E68" s="4">
        <v>0.41458547369045667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254</v>
      </c>
      <c r="D73" s="5">
        <v>520</v>
      </c>
      <c r="E73" s="5">
        <v>516</v>
      </c>
      <c r="F73" s="5">
        <v>4</v>
      </c>
      <c r="G73" s="5">
        <v>0</v>
      </c>
      <c r="H73" s="4">
        <v>0.48846153846153839</v>
      </c>
      <c r="I73" s="4">
        <v>0.44574028179786279</v>
      </c>
      <c r="J73" s="4">
        <v>0.53135202390276803</v>
      </c>
    </row>
    <row r="74" spans="1:10" ht="15" customHeight="1" x14ac:dyDescent="0.25">
      <c r="A74" s="3" t="s">
        <v>6</v>
      </c>
      <c r="B74" s="3" t="s">
        <v>7</v>
      </c>
      <c r="C74" s="5">
        <v>80</v>
      </c>
      <c r="D74" s="5">
        <v>580</v>
      </c>
      <c r="E74" s="5">
        <v>580</v>
      </c>
      <c r="F74" s="5">
        <v>0</v>
      </c>
      <c r="G74" s="5">
        <v>0</v>
      </c>
      <c r="H74" s="4">
        <v>0.13793103448275859</v>
      </c>
      <c r="I74" s="4">
        <v>0.1122413918927581</v>
      </c>
      <c r="J74" s="4">
        <v>0.16838523430065869</v>
      </c>
    </row>
    <row r="75" spans="1:10" ht="15" customHeight="1" x14ac:dyDescent="0.25">
      <c r="A75" s="3" t="s">
        <v>6</v>
      </c>
      <c r="B75" s="3" t="s">
        <v>8</v>
      </c>
      <c r="C75" s="5">
        <v>104</v>
      </c>
      <c r="D75" s="5">
        <v>440</v>
      </c>
      <c r="E75" s="5">
        <v>440</v>
      </c>
      <c r="F75" s="5">
        <v>0</v>
      </c>
      <c r="G75" s="5">
        <v>0</v>
      </c>
      <c r="H75" s="4">
        <v>0.23636363636363639</v>
      </c>
      <c r="I75" s="4">
        <v>0.19905497835111841</v>
      </c>
      <c r="J75" s="4">
        <v>0.27823585289201519</v>
      </c>
    </row>
    <row r="76" spans="1:10" ht="15" customHeight="1" x14ac:dyDescent="0.25">
      <c r="A76" s="3" t="s">
        <v>6</v>
      </c>
      <c r="B76" s="3" t="s">
        <v>9</v>
      </c>
      <c r="C76" s="5">
        <v>75</v>
      </c>
      <c r="D76" s="5">
        <v>440</v>
      </c>
      <c r="E76" s="5">
        <v>440</v>
      </c>
      <c r="F76" s="5">
        <v>0</v>
      </c>
      <c r="G76" s="5">
        <v>0</v>
      </c>
      <c r="H76" s="4">
        <v>0.17045454545454539</v>
      </c>
      <c r="I76" s="4">
        <v>0.1382075687295691</v>
      </c>
      <c r="J76" s="4">
        <v>0.20840597032434791</v>
      </c>
    </row>
    <row r="77" spans="1:10" ht="15" customHeight="1" x14ac:dyDescent="0.25">
      <c r="A77" s="3" t="s">
        <v>7</v>
      </c>
      <c r="B77" s="3" t="s">
        <v>6</v>
      </c>
      <c r="C77" s="5">
        <v>468</v>
      </c>
      <c r="D77" s="5">
        <v>580</v>
      </c>
      <c r="E77" s="5">
        <v>580</v>
      </c>
      <c r="F77" s="5">
        <v>0</v>
      </c>
      <c r="G77" s="5">
        <v>0</v>
      </c>
      <c r="H77" s="4">
        <v>0.80689655172413788</v>
      </c>
      <c r="I77" s="4">
        <v>0.77279491318192017</v>
      </c>
      <c r="J77" s="4">
        <v>0.83695966080651674</v>
      </c>
    </row>
    <row r="78" spans="1:10" ht="15" customHeight="1" x14ac:dyDescent="0.25">
      <c r="A78" s="3" t="s">
        <v>7</v>
      </c>
      <c r="B78" s="3" t="s">
        <v>7</v>
      </c>
      <c r="C78" s="5">
        <v>117</v>
      </c>
      <c r="D78" s="5">
        <v>340</v>
      </c>
      <c r="E78" s="5">
        <v>338</v>
      </c>
      <c r="F78" s="5">
        <v>2</v>
      </c>
      <c r="G78" s="5">
        <v>2</v>
      </c>
      <c r="H78" s="4">
        <v>0.34411764705882347</v>
      </c>
      <c r="I78" s="4">
        <v>0.29561377673786121</v>
      </c>
      <c r="J78" s="4">
        <v>0.39610460892872401</v>
      </c>
    </row>
    <row r="79" spans="1:10" ht="15" customHeight="1" x14ac:dyDescent="0.25">
      <c r="A79" s="3" t="s">
        <v>7</v>
      </c>
      <c r="B79" s="3" t="s">
        <v>8</v>
      </c>
      <c r="C79" s="5">
        <v>306</v>
      </c>
      <c r="D79" s="5">
        <v>530</v>
      </c>
      <c r="E79" s="5">
        <v>530</v>
      </c>
      <c r="F79" s="5">
        <v>0</v>
      </c>
      <c r="G79" s="5">
        <v>0</v>
      </c>
      <c r="H79" s="4">
        <v>0.57735849056603772</v>
      </c>
      <c r="I79" s="4">
        <v>0.53489458308891236</v>
      </c>
      <c r="J79" s="4">
        <v>0.61870907328716929</v>
      </c>
    </row>
    <row r="80" spans="1:10" ht="15" customHeight="1" x14ac:dyDescent="0.25">
      <c r="A80" s="3" t="s">
        <v>7</v>
      </c>
      <c r="B80" s="3" t="s">
        <v>9</v>
      </c>
      <c r="C80" s="5">
        <v>198</v>
      </c>
      <c r="D80" s="5">
        <v>560</v>
      </c>
      <c r="E80" s="5">
        <v>560</v>
      </c>
      <c r="F80" s="5">
        <v>0</v>
      </c>
      <c r="G80" s="5">
        <v>0</v>
      </c>
      <c r="H80" s="4">
        <v>0.35357142857142859</v>
      </c>
      <c r="I80" s="4">
        <v>0.31509540754610488</v>
      </c>
      <c r="J80" s="4">
        <v>0.39404268892694422</v>
      </c>
    </row>
    <row r="81" spans="1:10" ht="15" customHeight="1" x14ac:dyDescent="0.25">
      <c r="A81" s="3" t="s">
        <v>8</v>
      </c>
      <c r="B81" s="3" t="s">
        <v>6</v>
      </c>
      <c r="C81" s="5">
        <v>236</v>
      </c>
      <c r="D81" s="5">
        <v>440</v>
      </c>
      <c r="E81" s="5">
        <v>440</v>
      </c>
      <c r="F81" s="5">
        <v>0</v>
      </c>
      <c r="G81" s="5">
        <v>0</v>
      </c>
      <c r="H81" s="4">
        <v>0.53636363636363638</v>
      </c>
      <c r="I81" s="4">
        <v>0.4896548289791624</v>
      </c>
      <c r="J81" s="4">
        <v>0.58244298740109501</v>
      </c>
    </row>
    <row r="82" spans="1:10" ht="15" customHeight="1" x14ac:dyDescent="0.25">
      <c r="A82" s="3" t="s">
        <v>8</v>
      </c>
      <c r="B82" s="3" t="s">
        <v>7</v>
      </c>
      <c r="C82" s="5">
        <v>96</v>
      </c>
      <c r="D82" s="5">
        <v>530</v>
      </c>
      <c r="E82" s="5">
        <v>527</v>
      </c>
      <c r="F82" s="5">
        <v>3</v>
      </c>
      <c r="G82" s="5">
        <v>0</v>
      </c>
      <c r="H82" s="4">
        <v>0.1811320754716981</v>
      </c>
      <c r="I82" s="4">
        <v>0.15067632659463559</v>
      </c>
      <c r="J82" s="4">
        <v>0.21617689468444279</v>
      </c>
    </row>
    <row r="83" spans="1:10" ht="15" customHeight="1" x14ac:dyDescent="0.25">
      <c r="A83" s="3" t="s">
        <v>8</v>
      </c>
      <c r="B83" s="3" t="s">
        <v>8</v>
      </c>
      <c r="C83" s="5">
        <v>60</v>
      </c>
      <c r="D83" s="5">
        <v>360</v>
      </c>
      <c r="E83" s="5">
        <v>360</v>
      </c>
      <c r="F83" s="5">
        <v>0</v>
      </c>
      <c r="G83" s="5">
        <v>0</v>
      </c>
      <c r="H83" s="4">
        <v>0.16666666666666671</v>
      </c>
      <c r="I83" s="4">
        <v>0.13173107609879639</v>
      </c>
      <c r="J83" s="4">
        <v>0.20864096182699929</v>
      </c>
    </row>
    <row r="84" spans="1:10" ht="15" customHeight="1" x14ac:dyDescent="0.25">
      <c r="A84" s="3" t="s">
        <v>8</v>
      </c>
      <c r="B84" s="3" t="s">
        <v>9</v>
      </c>
      <c r="C84" s="5">
        <v>91</v>
      </c>
      <c r="D84" s="5">
        <v>610</v>
      </c>
      <c r="E84" s="5">
        <v>610</v>
      </c>
      <c r="F84" s="5">
        <v>0</v>
      </c>
      <c r="G84" s="5">
        <v>0</v>
      </c>
      <c r="H84" s="4">
        <v>0.14918032786885249</v>
      </c>
      <c r="I84" s="4">
        <v>0.12310692388087049</v>
      </c>
      <c r="J84" s="4">
        <v>0.17964463541870959</v>
      </c>
    </row>
    <row r="85" spans="1:10" ht="15" customHeight="1" x14ac:dyDescent="0.25">
      <c r="A85" s="3" t="s">
        <v>9</v>
      </c>
      <c r="B85" s="3" t="s">
        <v>6</v>
      </c>
      <c r="C85" s="5">
        <v>358</v>
      </c>
      <c r="D85" s="5">
        <v>440</v>
      </c>
      <c r="E85" s="5">
        <v>440</v>
      </c>
      <c r="F85" s="5">
        <v>0</v>
      </c>
      <c r="G85" s="5">
        <v>0</v>
      </c>
      <c r="H85" s="4">
        <v>0.8136363636363636</v>
      </c>
      <c r="I85" s="4">
        <v>0.77459347789525623</v>
      </c>
      <c r="J85" s="4">
        <v>0.8472501883844642</v>
      </c>
    </row>
    <row r="86" spans="1:10" ht="15" customHeight="1" x14ac:dyDescent="0.25">
      <c r="A86" s="3" t="s">
        <v>9</v>
      </c>
      <c r="B86" s="3" t="s">
        <v>7</v>
      </c>
      <c r="C86" s="5">
        <v>237</v>
      </c>
      <c r="D86" s="5">
        <v>560</v>
      </c>
      <c r="E86" s="5">
        <v>560</v>
      </c>
      <c r="F86" s="5">
        <v>0</v>
      </c>
      <c r="G86" s="5">
        <v>1</v>
      </c>
      <c r="H86" s="4">
        <v>0.42321428571428571</v>
      </c>
      <c r="I86" s="4">
        <v>0.38295315465357288</v>
      </c>
      <c r="J86" s="4">
        <v>0.46452170081400163</v>
      </c>
    </row>
    <row r="87" spans="1:10" ht="15" customHeight="1" x14ac:dyDescent="0.25">
      <c r="A87" s="3" t="s">
        <v>9</v>
      </c>
      <c r="B87" s="3" t="s">
        <v>8</v>
      </c>
      <c r="C87" s="5">
        <v>398</v>
      </c>
      <c r="D87" s="5">
        <v>610</v>
      </c>
      <c r="E87" s="5">
        <v>610</v>
      </c>
      <c r="F87" s="5">
        <v>0</v>
      </c>
      <c r="G87" s="5">
        <v>0</v>
      </c>
      <c r="H87" s="4">
        <v>0.65245901639344261</v>
      </c>
      <c r="I87" s="4">
        <v>0.61382249122940957</v>
      </c>
      <c r="J87" s="4">
        <v>0.68918734514974489</v>
      </c>
    </row>
    <row r="88" spans="1:10" ht="15" customHeight="1" x14ac:dyDescent="0.25">
      <c r="A88" s="3" t="s">
        <v>9</v>
      </c>
      <c r="B88" s="3" t="s">
        <v>9</v>
      </c>
      <c r="C88" s="5">
        <v>170</v>
      </c>
      <c r="D88" s="5">
        <v>460</v>
      </c>
      <c r="E88" s="5">
        <v>460</v>
      </c>
      <c r="F88" s="5">
        <v>0</v>
      </c>
      <c r="G88" s="5">
        <v>1</v>
      </c>
      <c r="H88" s="4">
        <v>0.36956521739130432</v>
      </c>
      <c r="I88" s="4">
        <v>0.32670544000859641</v>
      </c>
      <c r="J88" s="4">
        <v>0.41458547369045667</v>
      </c>
    </row>
  </sheetData>
  <pageMargins left="0.25" right="0.25" top="0.5" bottom="0.5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8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58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113</v>
      </c>
    </row>
    <row r="4" spans="1:5" ht="42" customHeight="1" x14ac:dyDescent="0.25">
      <c r="A4" s="2" t="s">
        <v>114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115</v>
      </c>
      <c r="C8" s="7" t="s">
        <v>116</v>
      </c>
      <c r="D8" s="7" t="s">
        <v>117</v>
      </c>
      <c r="E8" s="7" t="s">
        <v>118</v>
      </c>
    </row>
    <row r="9" spans="1:5" ht="30" customHeight="1" x14ac:dyDescent="0.25">
      <c r="A9" s="3" t="s">
        <v>7</v>
      </c>
      <c r="B9" s="7" t="s">
        <v>119</v>
      </c>
      <c r="C9" s="7" t="s">
        <v>120</v>
      </c>
      <c r="D9" s="7" t="s">
        <v>121</v>
      </c>
      <c r="E9" s="7" t="s">
        <v>122</v>
      </c>
    </row>
    <row r="10" spans="1:5" ht="30" customHeight="1" x14ac:dyDescent="0.25">
      <c r="A10" s="3" t="s">
        <v>8</v>
      </c>
      <c r="B10" s="7" t="s">
        <v>123</v>
      </c>
      <c r="C10" s="7" t="s">
        <v>124</v>
      </c>
      <c r="D10" s="7" t="s">
        <v>125</v>
      </c>
      <c r="E10" s="7" t="s">
        <v>116</v>
      </c>
    </row>
    <row r="11" spans="1:5" ht="30" customHeight="1" x14ac:dyDescent="0.25">
      <c r="A11" s="3" t="s">
        <v>9</v>
      </c>
      <c r="B11" s="7" t="s">
        <v>126</v>
      </c>
      <c r="C11" s="7" t="s">
        <v>127</v>
      </c>
      <c r="D11" s="7" t="s">
        <v>128</v>
      </c>
      <c r="E11" s="7" t="s">
        <v>122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132</v>
      </c>
      <c r="C16" s="5">
        <v>44</v>
      </c>
      <c r="D16" s="5">
        <v>67</v>
      </c>
      <c r="E16" s="5">
        <v>47</v>
      </c>
    </row>
    <row r="17" spans="1:5" ht="15" customHeight="1" x14ac:dyDescent="0.25">
      <c r="A17" s="3" t="s">
        <v>7</v>
      </c>
      <c r="B17" s="5">
        <v>210</v>
      </c>
      <c r="C17" s="5">
        <v>104</v>
      </c>
      <c r="D17" s="5">
        <v>166</v>
      </c>
      <c r="E17" s="5">
        <v>98</v>
      </c>
    </row>
    <row r="18" spans="1:5" ht="15" customHeight="1" x14ac:dyDescent="0.25">
      <c r="A18" s="3" t="s">
        <v>8</v>
      </c>
      <c r="B18" s="5">
        <v>163</v>
      </c>
      <c r="C18" s="5">
        <v>40</v>
      </c>
      <c r="D18" s="5">
        <v>63</v>
      </c>
      <c r="E18" s="5">
        <v>44</v>
      </c>
    </row>
    <row r="19" spans="1:5" ht="15" customHeight="1" x14ac:dyDescent="0.25">
      <c r="A19" s="3" t="s">
        <v>9</v>
      </c>
      <c r="B19" s="5">
        <v>216</v>
      </c>
      <c r="C19" s="5">
        <v>84</v>
      </c>
      <c r="D19" s="5">
        <v>173</v>
      </c>
      <c r="E19" s="5">
        <v>98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250</v>
      </c>
      <c r="C23" s="5">
        <v>250</v>
      </c>
      <c r="D23" s="5">
        <v>250</v>
      </c>
      <c r="E23" s="5">
        <v>250</v>
      </c>
    </row>
    <row r="24" spans="1:5" ht="15" customHeight="1" x14ac:dyDescent="0.25">
      <c r="A24" s="3" t="s">
        <v>7</v>
      </c>
      <c r="B24" s="5">
        <v>250</v>
      </c>
      <c r="C24" s="5">
        <v>250</v>
      </c>
      <c r="D24" s="5">
        <v>250</v>
      </c>
      <c r="E24" s="5">
        <v>250</v>
      </c>
    </row>
    <row r="25" spans="1:5" ht="15" customHeight="1" x14ac:dyDescent="0.25">
      <c r="A25" s="3" t="s">
        <v>8</v>
      </c>
      <c r="B25" s="5">
        <v>250</v>
      </c>
      <c r="C25" s="5">
        <v>250</v>
      </c>
      <c r="D25" s="5">
        <v>250</v>
      </c>
      <c r="E25" s="5">
        <v>250</v>
      </c>
    </row>
    <row r="26" spans="1:5" ht="15" customHeight="1" x14ac:dyDescent="0.25">
      <c r="A26" s="3" t="s">
        <v>9</v>
      </c>
      <c r="B26" s="5">
        <v>250</v>
      </c>
      <c r="C26" s="5">
        <v>250</v>
      </c>
      <c r="D26" s="5">
        <v>250</v>
      </c>
      <c r="E26" s="5">
        <v>250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250</v>
      </c>
      <c r="C30" s="5">
        <v>250</v>
      </c>
      <c r="D30" s="5">
        <v>249</v>
      </c>
      <c r="E30" s="5">
        <v>250</v>
      </c>
    </row>
    <row r="31" spans="1:5" ht="15" customHeight="1" x14ac:dyDescent="0.25">
      <c r="A31" s="3" t="s">
        <v>7</v>
      </c>
      <c r="B31" s="5">
        <v>250</v>
      </c>
      <c r="C31" s="5">
        <v>250</v>
      </c>
      <c r="D31" s="5">
        <v>250</v>
      </c>
      <c r="E31" s="5">
        <v>250</v>
      </c>
    </row>
    <row r="32" spans="1:5" ht="15" customHeight="1" x14ac:dyDescent="0.25">
      <c r="A32" s="3" t="s">
        <v>8</v>
      </c>
      <c r="B32" s="5">
        <v>248</v>
      </c>
      <c r="C32" s="5">
        <v>250</v>
      </c>
      <c r="D32" s="5">
        <v>250</v>
      </c>
      <c r="E32" s="5">
        <v>250</v>
      </c>
    </row>
    <row r="33" spans="1:5" ht="15" customHeight="1" x14ac:dyDescent="0.25">
      <c r="A33" s="3" t="s">
        <v>9</v>
      </c>
      <c r="B33" s="5">
        <v>250</v>
      </c>
      <c r="C33" s="5">
        <v>250</v>
      </c>
      <c r="D33" s="5">
        <v>247</v>
      </c>
      <c r="E33" s="5">
        <v>250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1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2</v>
      </c>
      <c r="C39" s="5">
        <v>0</v>
      </c>
      <c r="D39" s="5">
        <v>0</v>
      </c>
      <c r="E39" s="5">
        <v>0</v>
      </c>
    </row>
    <row r="40" spans="1:5" ht="15" customHeight="1" x14ac:dyDescent="0.25">
      <c r="A40" s="3" t="s">
        <v>9</v>
      </c>
      <c r="B40" s="5">
        <v>0</v>
      </c>
      <c r="C40" s="5">
        <v>0</v>
      </c>
      <c r="D40" s="5">
        <v>3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0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0</v>
      </c>
      <c r="D47" s="5">
        <v>0</v>
      </c>
      <c r="E47" s="5">
        <v>0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0.52800000000000002</v>
      </c>
      <c r="C51" s="4">
        <v>0.17599999999999999</v>
      </c>
      <c r="D51" s="4">
        <v>0.26800000000000002</v>
      </c>
      <c r="E51" s="4">
        <v>0.188</v>
      </c>
    </row>
    <row r="52" spans="1:5" ht="15" customHeight="1" x14ac:dyDescent="0.25">
      <c r="A52" s="3" t="s">
        <v>7</v>
      </c>
      <c r="B52" s="4">
        <v>0.84</v>
      </c>
      <c r="C52" s="4">
        <v>0.41599999999999998</v>
      </c>
      <c r="D52" s="4">
        <v>0.66400000000000003</v>
      </c>
      <c r="E52" s="4">
        <v>0.39200000000000002</v>
      </c>
    </row>
    <row r="53" spans="1:5" ht="15" customHeight="1" x14ac:dyDescent="0.25">
      <c r="A53" s="3" t="s">
        <v>8</v>
      </c>
      <c r="B53" s="4">
        <v>0.65200000000000002</v>
      </c>
      <c r="C53" s="4">
        <v>0.16</v>
      </c>
      <c r="D53" s="4">
        <v>0.252</v>
      </c>
      <c r="E53" s="4">
        <v>0.17599999999999999</v>
      </c>
    </row>
    <row r="54" spans="1:5" ht="15" customHeight="1" x14ac:dyDescent="0.25">
      <c r="A54" s="3" t="s">
        <v>9</v>
      </c>
      <c r="B54" s="4">
        <v>0.86399999999999999</v>
      </c>
      <c r="C54" s="4">
        <v>0.33600000000000002</v>
      </c>
      <c r="D54" s="4">
        <v>0.69199999999999995</v>
      </c>
      <c r="E54" s="4">
        <v>0.39200000000000002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0.46616258903849139</v>
      </c>
      <c r="C58" s="4">
        <v>0.1337997614674474</v>
      </c>
      <c r="D58" s="4">
        <v>0.21691132145905739</v>
      </c>
      <c r="E58" s="4">
        <v>0.14442580935113741</v>
      </c>
    </row>
    <row r="59" spans="1:5" ht="15" customHeight="1" x14ac:dyDescent="0.25">
      <c r="A59" s="3" t="s">
        <v>7</v>
      </c>
      <c r="B59" s="4">
        <v>0.78946316146516315</v>
      </c>
      <c r="C59" s="4">
        <v>0.35662335915134691</v>
      </c>
      <c r="D59" s="4">
        <v>0.60335922481760151</v>
      </c>
      <c r="E59" s="4">
        <v>0.33355543730026083</v>
      </c>
    </row>
    <row r="60" spans="1:5" ht="15" customHeight="1" x14ac:dyDescent="0.25">
      <c r="A60" s="3" t="s">
        <v>8</v>
      </c>
      <c r="B60" s="4">
        <v>0.59105695268513925</v>
      </c>
      <c r="C60" s="4">
        <v>0.1197538051220655</v>
      </c>
      <c r="D60" s="4">
        <v>0.20221193512538921</v>
      </c>
      <c r="E60" s="4">
        <v>0.1337997614674474</v>
      </c>
    </row>
    <row r="61" spans="1:5" ht="15" customHeight="1" x14ac:dyDescent="0.25">
      <c r="A61" s="3" t="s">
        <v>9</v>
      </c>
      <c r="B61" s="4">
        <v>0.81596422857053841</v>
      </c>
      <c r="C61" s="4">
        <v>0.2803229470521072</v>
      </c>
      <c r="D61" s="4">
        <v>0.63222707497106378</v>
      </c>
      <c r="E61" s="4">
        <v>0.33355543730026083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0.58898994618976375</v>
      </c>
      <c r="C65" s="4">
        <v>0.22800661660560059</v>
      </c>
      <c r="D65" s="4">
        <v>0.32611052950682878</v>
      </c>
      <c r="E65" s="4">
        <v>0.24101736953402</v>
      </c>
    </row>
    <row r="66" spans="1:10" ht="15" customHeight="1" x14ac:dyDescent="0.25">
      <c r="A66" s="3" t="s">
        <v>7</v>
      </c>
      <c r="B66" s="4">
        <v>0.88024619487793443</v>
      </c>
      <c r="C66" s="4">
        <v>0.47791903516388767</v>
      </c>
      <c r="D66" s="4">
        <v>0.71967705294789275</v>
      </c>
      <c r="E66" s="4">
        <v>0.45371335539075519</v>
      </c>
    </row>
    <row r="67" spans="1:10" ht="15" customHeight="1" x14ac:dyDescent="0.25">
      <c r="A67" s="3" t="s">
        <v>8</v>
      </c>
      <c r="B67" s="4">
        <v>0.70834252426824573</v>
      </c>
      <c r="C67" s="4">
        <v>0.21053683853483679</v>
      </c>
      <c r="D67" s="4">
        <v>0.30929418142435122</v>
      </c>
      <c r="E67" s="4">
        <v>0.22800661660560059</v>
      </c>
    </row>
    <row r="68" spans="1:10" ht="15" customHeight="1" x14ac:dyDescent="0.25">
      <c r="A68" s="3" t="s">
        <v>9</v>
      </c>
      <c r="B68" s="4">
        <v>0.90101872939677796</v>
      </c>
      <c r="C68" s="4">
        <v>0.39664077518239849</v>
      </c>
      <c r="D68" s="4">
        <v>0.74596173802268539</v>
      </c>
      <c r="E68" s="4">
        <v>0.45371335539075519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132</v>
      </c>
      <c r="D73" s="5">
        <v>250</v>
      </c>
      <c r="E73" s="5">
        <v>250</v>
      </c>
      <c r="F73" s="5">
        <v>0</v>
      </c>
      <c r="G73" s="5">
        <v>0</v>
      </c>
      <c r="H73" s="4">
        <v>0.52800000000000002</v>
      </c>
      <c r="I73" s="4">
        <v>0.46616258903849139</v>
      </c>
      <c r="J73" s="4">
        <v>0.58898994618976375</v>
      </c>
    </row>
    <row r="74" spans="1:10" ht="15" customHeight="1" x14ac:dyDescent="0.25">
      <c r="A74" s="3" t="s">
        <v>6</v>
      </c>
      <c r="B74" s="3" t="s">
        <v>7</v>
      </c>
      <c r="C74" s="5">
        <v>44</v>
      </c>
      <c r="D74" s="5">
        <v>250</v>
      </c>
      <c r="E74" s="5">
        <v>250</v>
      </c>
      <c r="F74" s="5">
        <v>0</v>
      </c>
      <c r="G74" s="5">
        <v>0</v>
      </c>
      <c r="H74" s="4">
        <v>0.17599999999999999</v>
      </c>
      <c r="I74" s="4">
        <v>0.1337997614674474</v>
      </c>
      <c r="J74" s="4">
        <v>0.22800661660560059</v>
      </c>
    </row>
    <row r="75" spans="1:10" ht="15" customHeight="1" x14ac:dyDescent="0.25">
      <c r="A75" s="3" t="s">
        <v>6</v>
      </c>
      <c r="B75" s="3" t="s">
        <v>8</v>
      </c>
      <c r="C75" s="5">
        <v>67</v>
      </c>
      <c r="D75" s="5">
        <v>250</v>
      </c>
      <c r="E75" s="5">
        <v>249</v>
      </c>
      <c r="F75" s="5">
        <v>1</v>
      </c>
      <c r="G75" s="5">
        <v>0</v>
      </c>
      <c r="H75" s="4">
        <v>0.26800000000000002</v>
      </c>
      <c r="I75" s="4">
        <v>0.21691132145905739</v>
      </c>
      <c r="J75" s="4">
        <v>0.32611052950682878</v>
      </c>
    </row>
    <row r="76" spans="1:10" ht="15" customHeight="1" x14ac:dyDescent="0.25">
      <c r="A76" s="3" t="s">
        <v>6</v>
      </c>
      <c r="B76" s="3" t="s">
        <v>9</v>
      </c>
      <c r="C76" s="5">
        <v>47</v>
      </c>
      <c r="D76" s="5">
        <v>250</v>
      </c>
      <c r="E76" s="5">
        <v>250</v>
      </c>
      <c r="F76" s="5">
        <v>0</v>
      </c>
      <c r="G76" s="5">
        <v>0</v>
      </c>
      <c r="H76" s="4">
        <v>0.188</v>
      </c>
      <c r="I76" s="4">
        <v>0.14442580935113741</v>
      </c>
      <c r="J76" s="4">
        <v>0.24101736953402</v>
      </c>
    </row>
    <row r="77" spans="1:10" ht="15" customHeight="1" x14ac:dyDescent="0.25">
      <c r="A77" s="3" t="s">
        <v>7</v>
      </c>
      <c r="B77" s="3" t="s">
        <v>6</v>
      </c>
      <c r="C77" s="5">
        <v>210</v>
      </c>
      <c r="D77" s="5">
        <v>250</v>
      </c>
      <c r="E77" s="5">
        <v>250</v>
      </c>
      <c r="F77" s="5">
        <v>0</v>
      </c>
      <c r="G77" s="5">
        <v>0</v>
      </c>
      <c r="H77" s="4">
        <v>0.84</v>
      </c>
      <c r="I77" s="4">
        <v>0.78946316146516315</v>
      </c>
      <c r="J77" s="4">
        <v>0.88024619487793443</v>
      </c>
    </row>
    <row r="78" spans="1:10" ht="15" customHeight="1" x14ac:dyDescent="0.25">
      <c r="A78" s="3" t="s">
        <v>7</v>
      </c>
      <c r="B78" s="3" t="s">
        <v>7</v>
      </c>
      <c r="C78" s="5">
        <v>104</v>
      </c>
      <c r="D78" s="5">
        <v>250</v>
      </c>
      <c r="E78" s="5">
        <v>250</v>
      </c>
      <c r="F78" s="5">
        <v>0</v>
      </c>
      <c r="G78" s="5">
        <v>0</v>
      </c>
      <c r="H78" s="4">
        <v>0.41599999999999998</v>
      </c>
      <c r="I78" s="4">
        <v>0.35662335915134691</v>
      </c>
      <c r="J78" s="4">
        <v>0.47791903516388767</v>
      </c>
    </row>
    <row r="79" spans="1:10" ht="15" customHeight="1" x14ac:dyDescent="0.25">
      <c r="A79" s="3" t="s">
        <v>7</v>
      </c>
      <c r="B79" s="3" t="s">
        <v>8</v>
      </c>
      <c r="C79" s="5">
        <v>166</v>
      </c>
      <c r="D79" s="5">
        <v>250</v>
      </c>
      <c r="E79" s="5">
        <v>250</v>
      </c>
      <c r="F79" s="5">
        <v>0</v>
      </c>
      <c r="G79" s="5">
        <v>0</v>
      </c>
      <c r="H79" s="4">
        <v>0.66400000000000003</v>
      </c>
      <c r="I79" s="4">
        <v>0.60335922481760151</v>
      </c>
      <c r="J79" s="4">
        <v>0.71967705294789275</v>
      </c>
    </row>
    <row r="80" spans="1:10" ht="15" customHeight="1" x14ac:dyDescent="0.25">
      <c r="A80" s="3" t="s">
        <v>7</v>
      </c>
      <c r="B80" s="3" t="s">
        <v>9</v>
      </c>
      <c r="C80" s="5">
        <v>98</v>
      </c>
      <c r="D80" s="5">
        <v>250</v>
      </c>
      <c r="E80" s="5">
        <v>250</v>
      </c>
      <c r="F80" s="5">
        <v>0</v>
      </c>
      <c r="G80" s="5">
        <v>0</v>
      </c>
      <c r="H80" s="4">
        <v>0.39200000000000002</v>
      </c>
      <c r="I80" s="4">
        <v>0.33355543730026083</v>
      </c>
      <c r="J80" s="4">
        <v>0.45371335539075519</v>
      </c>
    </row>
    <row r="81" spans="1:10" ht="15" customHeight="1" x14ac:dyDescent="0.25">
      <c r="A81" s="3" t="s">
        <v>8</v>
      </c>
      <c r="B81" s="3" t="s">
        <v>6</v>
      </c>
      <c r="C81" s="5">
        <v>163</v>
      </c>
      <c r="D81" s="5">
        <v>250</v>
      </c>
      <c r="E81" s="5">
        <v>248</v>
      </c>
      <c r="F81" s="5">
        <v>2</v>
      </c>
      <c r="G81" s="5">
        <v>0</v>
      </c>
      <c r="H81" s="4">
        <v>0.65200000000000002</v>
      </c>
      <c r="I81" s="4">
        <v>0.59105695268513925</v>
      </c>
      <c r="J81" s="4">
        <v>0.70834252426824573</v>
      </c>
    </row>
    <row r="82" spans="1:10" ht="15" customHeight="1" x14ac:dyDescent="0.25">
      <c r="A82" s="3" t="s">
        <v>8</v>
      </c>
      <c r="B82" s="3" t="s">
        <v>7</v>
      </c>
      <c r="C82" s="5">
        <v>40</v>
      </c>
      <c r="D82" s="5">
        <v>250</v>
      </c>
      <c r="E82" s="5">
        <v>250</v>
      </c>
      <c r="F82" s="5">
        <v>0</v>
      </c>
      <c r="G82" s="5">
        <v>0</v>
      </c>
      <c r="H82" s="4">
        <v>0.16</v>
      </c>
      <c r="I82" s="4">
        <v>0.1197538051220655</v>
      </c>
      <c r="J82" s="4">
        <v>0.21053683853483679</v>
      </c>
    </row>
    <row r="83" spans="1:10" ht="15" customHeight="1" x14ac:dyDescent="0.25">
      <c r="A83" s="3" t="s">
        <v>8</v>
      </c>
      <c r="B83" s="3" t="s">
        <v>8</v>
      </c>
      <c r="C83" s="5">
        <v>63</v>
      </c>
      <c r="D83" s="5">
        <v>250</v>
      </c>
      <c r="E83" s="5">
        <v>250</v>
      </c>
      <c r="F83" s="5">
        <v>0</v>
      </c>
      <c r="G83" s="5">
        <v>0</v>
      </c>
      <c r="H83" s="4">
        <v>0.252</v>
      </c>
      <c r="I83" s="4">
        <v>0.20221193512538921</v>
      </c>
      <c r="J83" s="4">
        <v>0.30929418142435122</v>
      </c>
    </row>
    <row r="84" spans="1:10" ht="15" customHeight="1" x14ac:dyDescent="0.25">
      <c r="A84" s="3" t="s">
        <v>8</v>
      </c>
      <c r="B84" s="3" t="s">
        <v>9</v>
      </c>
      <c r="C84" s="5">
        <v>44</v>
      </c>
      <c r="D84" s="5">
        <v>250</v>
      </c>
      <c r="E84" s="5">
        <v>250</v>
      </c>
      <c r="F84" s="5">
        <v>0</v>
      </c>
      <c r="G84" s="5">
        <v>0</v>
      </c>
      <c r="H84" s="4">
        <v>0.17599999999999999</v>
      </c>
      <c r="I84" s="4">
        <v>0.1337997614674474</v>
      </c>
      <c r="J84" s="4">
        <v>0.22800661660560059</v>
      </c>
    </row>
    <row r="85" spans="1:10" ht="15" customHeight="1" x14ac:dyDescent="0.25">
      <c r="A85" s="3" t="s">
        <v>9</v>
      </c>
      <c r="B85" s="3" t="s">
        <v>6</v>
      </c>
      <c r="C85" s="5">
        <v>216</v>
      </c>
      <c r="D85" s="5">
        <v>250</v>
      </c>
      <c r="E85" s="5">
        <v>250</v>
      </c>
      <c r="F85" s="5">
        <v>0</v>
      </c>
      <c r="G85" s="5">
        <v>0</v>
      </c>
      <c r="H85" s="4">
        <v>0.86399999999999999</v>
      </c>
      <c r="I85" s="4">
        <v>0.81596422857053841</v>
      </c>
      <c r="J85" s="4">
        <v>0.90101872939677796</v>
      </c>
    </row>
    <row r="86" spans="1:10" ht="15" customHeight="1" x14ac:dyDescent="0.25">
      <c r="A86" s="3" t="s">
        <v>9</v>
      </c>
      <c r="B86" s="3" t="s">
        <v>7</v>
      </c>
      <c r="C86" s="5">
        <v>84</v>
      </c>
      <c r="D86" s="5">
        <v>250</v>
      </c>
      <c r="E86" s="5">
        <v>250</v>
      </c>
      <c r="F86" s="5">
        <v>0</v>
      </c>
      <c r="G86" s="5">
        <v>0</v>
      </c>
      <c r="H86" s="4">
        <v>0.33600000000000002</v>
      </c>
      <c r="I86" s="4">
        <v>0.2803229470521072</v>
      </c>
      <c r="J86" s="4">
        <v>0.39664077518239849</v>
      </c>
    </row>
    <row r="87" spans="1:10" ht="15" customHeight="1" x14ac:dyDescent="0.25">
      <c r="A87" s="3" t="s">
        <v>9</v>
      </c>
      <c r="B87" s="3" t="s">
        <v>8</v>
      </c>
      <c r="C87" s="5">
        <v>173</v>
      </c>
      <c r="D87" s="5">
        <v>250</v>
      </c>
      <c r="E87" s="5">
        <v>247</v>
      </c>
      <c r="F87" s="5">
        <v>3</v>
      </c>
      <c r="G87" s="5">
        <v>0</v>
      </c>
      <c r="H87" s="4">
        <v>0.69199999999999995</v>
      </c>
      <c r="I87" s="4">
        <v>0.63222707497106378</v>
      </c>
      <c r="J87" s="4">
        <v>0.74596173802268539</v>
      </c>
    </row>
    <row r="88" spans="1:10" ht="15" customHeight="1" x14ac:dyDescent="0.25">
      <c r="A88" s="3" t="s">
        <v>9</v>
      </c>
      <c r="B88" s="3" t="s">
        <v>9</v>
      </c>
      <c r="C88" s="5">
        <v>98</v>
      </c>
      <c r="D88" s="5">
        <v>250</v>
      </c>
      <c r="E88" s="5">
        <v>250</v>
      </c>
      <c r="F88" s="5">
        <v>0</v>
      </c>
      <c r="G88" s="5">
        <v>0</v>
      </c>
      <c r="H88" s="4">
        <v>0.39200000000000002</v>
      </c>
      <c r="I88" s="4">
        <v>0.33355543730026083</v>
      </c>
      <c r="J88" s="4">
        <v>0.45371335539075519</v>
      </c>
    </row>
  </sheetData>
  <pageMargins left="0.25" right="0.25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8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61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129</v>
      </c>
    </row>
    <row r="4" spans="1:5" ht="42" customHeight="1" x14ac:dyDescent="0.25">
      <c r="A4" s="2" t="s">
        <v>114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130</v>
      </c>
      <c r="C8" s="7" t="s">
        <v>131</v>
      </c>
      <c r="D8" s="7" t="s">
        <v>132</v>
      </c>
      <c r="E8" s="7" t="s">
        <v>133</v>
      </c>
    </row>
    <row r="9" spans="1:5" ht="30" customHeight="1" x14ac:dyDescent="0.25">
      <c r="A9" s="3" t="s">
        <v>7</v>
      </c>
      <c r="B9" s="7" t="s">
        <v>134</v>
      </c>
      <c r="C9" s="7" t="s">
        <v>135</v>
      </c>
      <c r="D9" s="7" t="s">
        <v>136</v>
      </c>
      <c r="E9" s="7" t="s">
        <v>137</v>
      </c>
    </row>
    <row r="10" spans="1:5" ht="30" customHeight="1" x14ac:dyDescent="0.25">
      <c r="A10" s="3" t="s">
        <v>8</v>
      </c>
      <c r="B10" s="7" t="s">
        <v>138</v>
      </c>
      <c r="C10" s="7" t="s">
        <v>133</v>
      </c>
      <c r="D10" s="7" t="s">
        <v>139</v>
      </c>
      <c r="E10" s="7" t="s">
        <v>116</v>
      </c>
    </row>
    <row r="11" spans="1:5" ht="30" customHeight="1" x14ac:dyDescent="0.25">
      <c r="A11" s="3" t="s">
        <v>9</v>
      </c>
      <c r="B11" s="7" t="s">
        <v>140</v>
      </c>
      <c r="C11" s="7" t="s">
        <v>141</v>
      </c>
      <c r="D11" s="7" t="s">
        <v>142</v>
      </c>
      <c r="E11" s="7" t="s">
        <v>143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142</v>
      </c>
      <c r="C16" s="5">
        <v>35</v>
      </c>
      <c r="D16" s="5">
        <v>64</v>
      </c>
      <c r="E16" s="5">
        <v>51</v>
      </c>
    </row>
    <row r="17" spans="1:5" ht="15" customHeight="1" x14ac:dyDescent="0.25">
      <c r="A17" s="3" t="s">
        <v>7</v>
      </c>
      <c r="B17" s="5">
        <v>217</v>
      </c>
      <c r="C17" s="5">
        <v>107</v>
      </c>
      <c r="D17" s="5">
        <v>159</v>
      </c>
      <c r="E17" s="5">
        <v>127</v>
      </c>
    </row>
    <row r="18" spans="1:5" ht="15" customHeight="1" x14ac:dyDescent="0.25">
      <c r="A18" s="3" t="s">
        <v>8</v>
      </c>
      <c r="B18" s="5">
        <v>167</v>
      </c>
      <c r="C18" s="5">
        <v>51</v>
      </c>
      <c r="D18" s="5">
        <v>70</v>
      </c>
      <c r="E18" s="5">
        <v>44</v>
      </c>
    </row>
    <row r="19" spans="1:5" ht="15" customHeight="1" x14ac:dyDescent="0.25">
      <c r="A19" s="3" t="s">
        <v>9</v>
      </c>
      <c r="B19" s="5">
        <v>215</v>
      </c>
      <c r="C19" s="5">
        <v>75</v>
      </c>
      <c r="D19" s="5">
        <v>175</v>
      </c>
      <c r="E19" s="5">
        <v>106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250</v>
      </c>
      <c r="C23" s="5">
        <v>250</v>
      </c>
      <c r="D23" s="5">
        <v>250</v>
      </c>
      <c r="E23" s="5">
        <v>250</v>
      </c>
    </row>
    <row r="24" spans="1:5" ht="15" customHeight="1" x14ac:dyDescent="0.25">
      <c r="A24" s="3" t="s">
        <v>7</v>
      </c>
      <c r="B24" s="5">
        <v>250</v>
      </c>
      <c r="C24" s="5">
        <v>250</v>
      </c>
      <c r="D24" s="5">
        <v>250</v>
      </c>
      <c r="E24" s="5">
        <v>250</v>
      </c>
    </row>
    <row r="25" spans="1:5" ht="15" customHeight="1" x14ac:dyDescent="0.25">
      <c r="A25" s="3" t="s">
        <v>8</v>
      </c>
      <c r="B25" s="5">
        <v>250</v>
      </c>
      <c r="C25" s="5">
        <v>250</v>
      </c>
      <c r="D25" s="5">
        <v>250</v>
      </c>
      <c r="E25" s="5">
        <v>250</v>
      </c>
    </row>
    <row r="26" spans="1:5" ht="15" customHeight="1" x14ac:dyDescent="0.25">
      <c r="A26" s="3" t="s">
        <v>9</v>
      </c>
      <c r="B26" s="5">
        <v>250</v>
      </c>
      <c r="C26" s="5">
        <v>250</v>
      </c>
      <c r="D26" s="5">
        <v>250</v>
      </c>
      <c r="E26" s="5">
        <v>250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250</v>
      </c>
      <c r="C30" s="5">
        <v>250</v>
      </c>
      <c r="D30" s="5">
        <v>249</v>
      </c>
      <c r="E30" s="5">
        <v>250</v>
      </c>
    </row>
    <row r="31" spans="1:5" ht="15" customHeight="1" x14ac:dyDescent="0.25">
      <c r="A31" s="3" t="s">
        <v>7</v>
      </c>
      <c r="B31" s="5">
        <v>250</v>
      </c>
      <c r="C31" s="5">
        <v>250</v>
      </c>
      <c r="D31" s="5">
        <v>250</v>
      </c>
      <c r="E31" s="5">
        <v>250</v>
      </c>
    </row>
    <row r="32" spans="1:5" ht="15" customHeight="1" x14ac:dyDescent="0.25">
      <c r="A32" s="3" t="s">
        <v>8</v>
      </c>
      <c r="B32" s="5">
        <v>248</v>
      </c>
      <c r="C32" s="5">
        <v>250</v>
      </c>
      <c r="D32" s="5">
        <v>250</v>
      </c>
      <c r="E32" s="5">
        <v>250</v>
      </c>
    </row>
    <row r="33" spans="1:5" ht="15" customHeight="1" x14ac:dyDescent="0.25">
      <c r="A33" s="3" t="s">
        <v>9</v>
      </c>
      <c r="B33" s="5">
        <v>250</v>
      </c>
      <c r="C33" s="5">
        <v>250</v>
      </c>
      <c r="D33" s="5">
        <v>247</v>
      </c>
      <c r="E33" s="5">
        <v>250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1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2</v>
      </c>
      <c r="C39" s="5">
        <v>0</v>
      </c>
      <c r="D39" s="5">
        <v>0</v>
      </c>
      <c r="E39" s="5">
        <v>0</v>
      </c>
    </row>
    <row r="40" spans="1:5" ht="15" customHeight="1" x14ac:dyDescent="0.25">
      <c r="A40" s="3" t="s">
        <v>9</v>
      </c>
      <c r="B40" s="5">
        <v>0</v>
      </c>
      <c r="C40" s="5">
        <v>0</v>
      </c>
      <c r="D40" s="5">
        <v>3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0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0</v>
      </c>
      <c r="D47" s="5">
        <v>0</v>
      </c>
      <c r="E47" s="5">
        <v>0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0.56799999999999995</v>
      </c>
      <c r="C51" s="4">
        <v>0.14000000000000001</v>
      </c>
      <c r="D51" s="4">
        <v>0.25600000000000001</v>
      </c>
      <c r="E51" s="4">
        <v>0.20399999999999999</v>
      </c>
    </row>
    <row r="52" spans="1:5" ht="15" customHeight="1" x14ac:dyDescent="0.25">
      <c r="A52" s="3" t="s">
        <v>7</v>
      </c>
      <c r="B52" s="4">
        <v>0.86799999999999999</v>
      </c>
      <c r="C52" s="4">
        <v>0.42799999999999999</v>
      </c>
      <c r="D52" s="4">
        <v>0.63600000000000001</v>
      </c>
      <c r="E52" s="4">
        <v>0.50800000000000001</v>
      </c>
    </row>
    <row r="53" spans="1:5" ht="15" customHeight="1" x14ac:dyDescent="0.25">
      <c r="A53" s="3" t="s">
        <v>8</v>
      </c>
      <c r="B53" s="4">
        <v>0.66800000000000004</v>
      </c>
      <c r="C53" s="4">
        <v>0.20399999999999999</v>
      </c>
      <c r="D53" s="4">
        <v>0.28000000000000003</v>
      </c>
      <c r="E53" s="4">
        <v>0.17599999999999999</v>
      </c>
    </row>
    <row r="54" spans="1:5" ht="15" customHeight="1" x14ac:dyDescent="0.25">
      <c r="A54" s="3" t="s">
        <v>9</v>
      </c>
      <c r="B54" s="4">
        <v>0.86</v>
      </c>
      <c r="C54" s="4">
        <v>0.3</v>
      </c>
      <c r="D54" s="4">
        <v>0.7</v>
      </c>
      <c r="E54" s="4">
        <v>0.42399999999999999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0.50602499671740608</v>
      </c>
      <c r="C58" s="4">
        <v>0.10241625731027421</v>
      </c>
      <c r="D58" s="4">
        <v>0.20587818222534179</v>
      </c>
      <c r="E58" s="4">
        <v>0.15870525412410841</v>
      </c>
    </row>
    <row r="59" spans="1:5" ht="15" customHeight="1" x14ac:dyDescent="0.25">
      <c r="A59" s="3" t="s">
        <v>7</v>
      </c>
      <c r="B59" s="4">
        <v>0.82041990809518206</v>
      </c>
      <c r="C59" s="4">
        <v>0.36821217094158548</v>
      </c>
      <c r="D59" s="4">
        <v>0.57471641001867801</v>
      </c>
      <c r="E59" s="4">
        <v>0.44637794987397189</v>
      </c>
    </row>
    <row r="60" spans="1:5" ht="15" customHeight="1" x14ac:dyDescent="0.25">
      <c r="A60" s="3" t="s">
        <v>8</v>
      </c>
      <c r="B60" s="4">
        <v>0.60746910339546789</v>
      </c>
      <c r="C60" s="4">
        <v>0.15870525412410841</v>
      </c>
      <c r="D60" s="4">
        <v>0.2279943677779015</v>
      </c>
      <c r="E60" s="4">
        <v>0.1337997614674474</v>
      </c>
    </row>
    <row r="61" spans="1:5" ht="15" customHeight="1" x14ac:dyDescent="0.25">
      <c r="A61" s="3" t="s">
        <v>9</v>
      </c>
      <c r="B61" s="4">
        <v>0.81152028167355406</v>
      </c>
      <c r="C61" s="4">
        <v>0.24657177911639561</v>
      </c>
      <c r="D61" s="4">
        <v>0.64051845931821771</v>
      </c>
      <c r="E61" s="4">
        <v>0.36434521536212078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0.62791687455121326</v>
      </c>
      <c r="C65" s="4">
        <v>0.18847971832644589</v>
      </c>
      <c r="D65" s="4">
        <v>0.31350686792843507</v>
      </c>
      <c r="E65" s="4">
        <v>0.25825365917719478</v>
      </c>
    </row>
    <row r="66" spans="1:10" ht="15" customHeight="1" x14ac:dyDescent="0.25">
      <c r="A66" s="3" t="s">
        <v>7</v>
      </c>
      <c r="B66" s="4">
        <v>0.90444198347617066</v>
      </c>
      <c r="C66" s="4">
        <v>0.48996702418575838</v>
      </c>
      <c r="D66" s="4">
        <v>0.69316733251856111</v>
      </c>
      <c r="E66" s="4">
        <v>0.56937991733410098</v>
      </c>
    </row>
    <row r="67" spans="1:10" ht="15" customHeight="1" x14ac:dyDescent="0.25">
      <c r="A67" s="3" t="s">
        <v>8</v>
      </c>
      <c r="B67" s="4">
        <v>0.72344610797406272</v>
      </c>
      <c r="C67" s="4">
        <v>0.25825365917719478</v>
      </c>
      <c r="D67" s="4">
        <v>0.33866428400009402</v>
      </c>
      <c r="E67" s="4">
        <v>0.22800661660560059</v>
      </c>
    </row>
    <row r="68" spans="1:10" ht="15" customHeight="1" x14ac:dyDescent="0.25">
      <c r="A68" s="3" t="s">
        <v>9</v>
      </c>
      <c r="B68" s="4">
        <v>0.89758374268972574</v>
      </c>
      <c r="C68" s="4">
        <v>0.35948154068178217</v>
      </c>
      <c r="D68" s="4">
        <v>0.75342822088360439</v>
      </c>
      <c r="E68" s="4">
        <v>0.48595504616118662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142</v>
      </c>
      <c r="D73" s="5">
        <v>250</v>
      </c>
      <c r="E73" s="5">
        <v>250</v>
      </c>
      <c r="F73" s="5">
        <v>0</v>
      </c>
      <c r="G73" s="5">
        <v>0</v>
      </c>
      <c r="H73" s="4">
        <v>0.56799999999999995</v>
      </c>
      <c r="I73" s="4">
        <v>0.50602499671740608</v>
      </c>
      <c r="J73" s="4">
        <v>0.62791687455121326</v>
      </c>
    </row>
    <row r="74" spans="1:10" ht="15" customHeight="1" x14ac:dyDescent="0.25">
      <c r="A74" s="3" t="s">
        <v>6</v>
      </c>
      <c r="B74" s="3" t="s">
        <v>7</v>
      </c>
      <c r="C74" s="5">
        <v>35</v>
      </c>
      <c r="D74" s="5">
        <v>250</v>
      </c>
      <c r="E74" s="5">
        <v>250</v>
      </c>
      <c r="F74" s="5">
        <v>0</v>
      </c>
      <c r="G74" s="5">
        <v>0</v>
      </c>
      <c r="H74" s="4">
        <v>0.14000000000000001</v>
      </c>
      <c r="I74" s="4">
        <v>0.10241625731027421</v>
      </c>
      <c r="J74" s="4">
        <v>0.18847971832644589</v>
      </c>
    </row>
    <row r="75" spans="1:10" ht="15" customHeight="1" x14ac:dyDescent="0.25">
      <c r="A75" s="3" t="s">
        <v>6</v>
      </c>
      <c r="B75" s="3" t="s">
        <v>8</v>
      </c>
      <c r="C75" s="5">
        <v>64</v>
      </c>
      <c r="D75" s="5">
        <v>250</v>
      </c>
      <c r="E75" s="5">
        <v>249</v>
      </c>
      <c r="F75" s="5">
        <v>1</v>
      </c>
      <c r="G75" s="5">
        <v>0</v>
      </c>
      <c r="H75" s="4">
        <v>0.25600000000000001</v>
      </c>
      <c r="I75" s="4">
        <v>0.20587818222534179</v>
      </c>
      <c r="J75" s="4">
        <v>0.31350686792843507</v>
      </c>
    </row>
    <row r="76" spans="1:10" ht="15" customHeight="1" x14ac:dyDescent="0.25">
      <c r="A76" s="3" t="s">
        <v>6</v>
      </c>
      <c r="B76" s="3" t="s">
        <v>9</v>
      </c>
      <c r="C76" s="5">
        <v>51</v>
      </c>
      <c r="D76" s="5">
        <v>250</v>
      </c>
      <c r="E76" s="5">
        <v>250</v>
      </c>
      <c r="F76" s="5">
        <v>0</v>
      </c>
      <c r="G76" s="5">
        <v>0</v>
      </c>
      <c r="H76" s="4">
        <v>0.20399999999999999</v>
      </c>
      <c r="I76" s="4">
        <v>0.15870525412410841</v>
      </c>
      <c r="J76" s="4">
        <v>0.25825365917719478</v>
      </c>
    </row>
    <row r="77" spans="1:10" ht="15" customHeight="1" x14ac:dyDescent="0.25">
      <c r="A77" s="3" t="s">
        <v>7</v>
      </c>
      <c r="B77" s="3" t="s">
        <v>6</v>
      </c>
      <c r="C77" s="5">
        <v>217</v>
      </c>
      <c r="D77" s="5">
        <v>250</v>
      </c>
      <c r="E77" s="5">
        <v>250</v>
      </c>
      <c r="F77" s="5">
        <v>0</v>
      </c>
      <c r="G77" s="5">
        <v>0</v>
      </c>
      <c r="H77" s="4">
        <v>0.86799999999999999</v>
      </c>
      <c r="I77" s="4">
        <v>0.82041990809518206</v>
      </c>
      <c r="J77" s="4">
        <v>0.90444198347617066</v>
      </c>
    </row>
    <row r="78" spans="1:10" ht="15" customHeight="1" x14ac:dyDescent="0.25">
      <c r="A78" s="3" t="s">
        <v>7</v>
      </c>
      <c r="B78" s="3" t="s">
        <v>7</v>
      </c>
      <c r="C78" s="5">
        <v>107</v>
      </c>
      <c r="D78" s="5">
        <v>250</v>
      </c>
      <c r="E78" s="5">
        <v>250</v>
      </c>
      <c r="F78" s="5">
        <v>0</v>
      </c>
      <c r="G78" s="5">
        <v>0</v>
      </c>
      <c r="H78" s="4">
        <v>0.42799999999999999</v>
      </c>
      <c r="I78" s="4">
        <v>0.36821217094158548</v>
      </c>
      <c r="J78" s="4">
        <v>0.48996702418575838</v>
      </c>
    </row>
    <row r="79" spans="1:10" ht="15" customHeight="1" x14ac:dyDescent="0.25">
      <c r="A79" s="3" t="s">
        <v>7</v>
      </c>
      <c r="B79" s="3" t="s">
        <v>8</v>
      </c>
      <c r="C79" s="5">
        <v>159</v>
      </c>
      <c r="D79" s="5">
        <v>250</v>
      </c>
      <c r="E79" s="5">
        <v>250</v>
      </c>
      <c r="F79" s="5">
        <v>0</v>
      </c>
      <c r="G79" s="5">
        <v>0</v>
      </c>
      <c r="H79" s="4">
        <v>0.63600000000000001</v>
      </c>
      <c r="I79" s="4">
        <v>0.57471641001867801</v>
      </c>
      <c r="J79" s="4">
        <v>0.69316733251856111</v>
      </c>
    </row>
    <row r="80" spans="1:10" ht="15" customHeight="1" x14ac:dyDescent="0.25">
      <c r="A80" s="3" t="s">
        <v>7</v>
      </c>
      <c r="B80" s="3" t="s">
        <v>9</v>
      </c>
      <c r="C80" s="5">
        <v>127</v>
      </c>
      <c r="D80" s="5">
        <v>250</v>
      </c>
      <c r="E80" s="5">
        <v>250</v>
      </c>
      <c r="F80" s="5">
        <v>0</v>
      </c>
      <c r="G80" s="5">
        <v>0</v>
      </c>
      <c r="H80" s="4">
        <v>0.50800000000000001</v>
      </c>
      <c r="I80" s="4">
        <v>0.44637794987397189</v>
      </c>
      <c r="J80" s="4">
        <v>0.56937991733410098</v>
      </c>
    </row>
    <row r="81" spans="1:10" ht="15" customHeight="1" x14ac:dyDescent="0.25">
      <c r="A81" s="3" t="s">
        <v>8</v>
      </c>
      <c r="B81" s="3" t="s">
        <v>6</v>
      </c>
      <c r="C81" s="5">
        <v>167</v>
      </c>
      <c r="D81" s="5">
        <v>250</v>
      </c>
      <c r="E81" s="5">
        <v>248</v>
      </c>
      <c r="F81" s="5">
        <v>2</v>
      </c>
      <c r="G81" s="5">
        <v>0</v>
      </c>
      <c r="H81" s="4">
        <v>0.66800000000000004</v>
      </c>
      <c r="I81" s="4">
        <v>0.60746910339546789</v>
      </c>
      <c r="J81" s="4">
        <v>0.72344610797406272</v>
      </c>
    </row>
    <row r="82" spans="1:10" ht="15" customHeight="1" x14ac:dyDescent="0.25">
      <c r="A82" s="3" t="s">
        <v>8</v>
      </c>
      <c r="B82" s="3" t="s">
        <v>7</v>
      </c>
      <c r="C82" s="5">
        <v>51</v>
      </c>
      <c r="D82" s="5">
        <v>250</v>
      </c>
      <c r="E82" s="5">
        <v>250</v>
      </c>
      <c r="F82" s="5">
        <v>0</v>
      </c>
      <c r="G82" s="5">
        <v>0</v>
      </c>
      <c r="H82" s="4">
        <v>0.20399999999999999</v>
      </c>
      <c r="I82" s="4">
        <v>0.15870525412410841</v>
      </c>
      <c r="J82" s="4">
        <v>0.25825365917719478</v>
      </c>
    </row>
    <row r="83" spans="1:10" ht="15" customHeight="1" x14ac:dyDescent="0.25">
      <c r="A83" s="3" t="s">
        <v>8</v>
      </c>
      <c r="B83" s="3" t="s">
        <v>8</v>
      </c>
      <c r="C83" s="5">
        <v>70</v>
      </c>
      <c r="D83" s="5">
        <v>250</v>
      </c>
      <c r="E83" s="5">
        <v>250</v>
      </c>
      <c r="F83" s="5">
        <v>0</v>
      </c>
      <c r="G83" s="5">
        <v>0</v>
      </c>
      <c r="H83" s="4">
        <v>0.28000000000000003</v>
      </c>
      <c r="I83" s="4">
        <v>0.2279943677779015</v>
      </c>
      <c r="J83" s="4">
        <v>0.33866428400009402</v>
      </c>
    </row>
    <row r="84" spans="1:10" ht="15" customHeight="1" x14ac:dyDescent="0.25">
      <c r="A84" s="3" t="s">
        <v>8</v>
      </c>
      <c r="B84" s="3" t="s">
        <v>9</v>
      </c>
      <c r="C84" s="5">
        <v>44</v>
      </c>
      <c r="D84" s="5">
        <v>250</v>
      </c>
      <c r="E84" s="5">
        <v>250</v>
      </c>
      <c r="F84" s="5">
        <v>0</v>
      </c>
      <c r="G84" s="5">
        <v>0</v>
      </c>
      <c r="H84" s="4">
        <v>0.17599999999999999</v>
      </c>
      <c r="I84" s="4">
        <v>0.1337997614674474</v>
      </c>
      <c r="J84" s="4">
        <v>0.22800661660560059</v>
      </c>
    </row>
    <row r="85" spans="1:10" ht="15" customHeight="1" x14ac:dyDescent="0.25">
      <c r="A85" s="3" t="s">
        <v>9</v>
      </c>
      <c r="B85" s="3" t="s">
        <v>6</v>
      </c>
      <c r="C85" s="5">
        <v>215</v>
      </c>
      <c r="D85" s="5">
        <v>250</v>
      </c>
      <c r="E85" s="5">
        <v>250</v>
      </c>
      <c r="F85" s="5">
        <v>0</v>
      </c>
      <c r="G85" s="5">
        <v>0</v>
      </c>
      <c r="H85" s="4">
        <v>0.86</v>
      </c>
      <c r="I85" s="4">
        <v>0.81152028167355406</v>
      </c>
      <c r="J85" s="4">
        <v>0.89758374268972574</v>
      </c>
    </row>
    <row r="86" spans="1:10" ht="15" customHeight="1" x14ac:dyDescent="0.25">
      <c r="A86" s="3" t="s">
        <v>9</v>
      </c>
      <c r="B86" s="3" t="s">
        <v>7</v>
      </c>
      <c r="C86" s="5">
        <v>75</v>
      </c>
      <c r="D86" s="5">
        <v>250</v>
      </c>
      <c r="E86" s="5">
        <v>250</v>
      </c>
      <c r="F86" s="5">
        <v>0</v>
      </c>
      <c r="G86" s="5">
        <v>0</v>
      </c>
      <c r="H86" s="4">
        <v>0.3</v>
      </c>
      <c r="I86" s="4">
        <v>0.24657177911639561</v>
      </c>
      <c r="J86" s="4">
        <v>0.35948154068178217</v>
      </c>
    </row>
    <row r="87" spans="1:10" ht="15" customHeight="1" x14ac:dyDescent="0.25">
      <c r="A87" s="3" t="s">
        <v>9</v>
      </c>
      <c r="B87" s="3" t="s">
        <v>8</v>
      </c>
      <c r="C87" s="5">
        <v>175</v>
      </c>
      <c r="D87" s="5">
        <v>250</v>
      </c>
      <c r="E87" s="5">
        <v>247</v>
      </c>
      <c r="F87" s="5">
        <v>3</v>
      </c>
      <c r="G87" s="5">
        <v>0</v>
      </c>
      <c r="H87" s="4">
        <v>0.7</v>
      </c>
      <c r="I87" s="4">
        <v>0.64051845931821771</v>
      </c>
      <c r="J87" s="4">
        <v>0.75342822088360439</v>
      </c>
    </row>
    <row r="88" spans="1:10" ht="15" customHeight="1" x14ac:dyDescent="0.25">
      <c r="A88" s="3" t="s">
        <v>9</v>
      </c>
      <c r="B88" s="3" t="s">
        <v>9</v>
      </c>
      <c r="C88" s="5">
        <v>106</v>
      </c>
      <c r="D88" s="5">
        <v>250</v>
      </c>
      <c r="E88" s="5">
        <v>250</v>
      </c>
      <c r="F88" s="5">
        <v>0</v>
      </c>
      <c r="G88" s="5">
        <v>0</v>
      </c>
      <c r="H88" s="4">
        <v>0.42399999999999999</v>
      </c>
      <c r="I88" s="4">
        <v>0.36434521536212078</v>
      </c>
      <c r="J88" s="4">
        <v>0.48595504616118662</v>
      </c>
    </row>
  </sheetData>
  <pageMargins left="0.25" right="0.25" top="0.5" bottom="0.5" header="0.2" footer="0.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8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64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144</v>
      </c>
    </row>
    <row r="4" spans="1:5" ht="42" customHeight="1" x14ac:dyDescent="0.25">
      <c r="A4" s="2" t="s">
        <v>114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145</v>
      </c>
      <c r="C8" s="7" t="s">
        <v>146</v>
      </c>
      <c r="D8" s="7" t="s">
        <v>147</v>
      </c>
      <c r="E8" s="7" t="s">
        <v>125</v>
      </c>
    </row>
    <row r="9" spans="1:5" ht="30" customHeight="1" x14ac:dyDescent="0.25">
      <c r="A9" s="3" t="s">
        <v>7</v>
      </c>
      <c r="B9" s="7" t="s">
        <v>148</v>
      </c>
      <c r="C9" s="7" t="s">
        <v>149</v>
      </c>
      <c r="D9" s="7" t="s">
        <v>150</v>
      </c>
      <c r="E9" s="7" t="s">
        <v>151</v>
      </c>
    </row>
    <row r="10" spans="1:5" ht="30" customHeight="1" x14ac:dyDescent="0.25">
      <c r="A10" s="3" t="s">
        <v>8</v>
      </c>
      <c r="B10" s="7" t="s">
        <v>152</v>
      </c>
      <c r="C10" s="7" t="s">
        <v>153</v>
      </c>
      <c r="D10" s="7" t="s">
        <v>154</v>
      </c>
      <c r="E10" s="7" t="s">
        <v>155</v>
      </c>
    </row>
    <row r="11" spans="1:5" ht="30" customHeight="1" x14ac:dyDescent="0.25">
      <c r="A11" s="3" t="s">
        <v>9</v>
      </c>
      <c r="B11" s="7" t="s">
        <v>156</v>
      </c>
      <c r="C11" s="7" t="s">
        <v>157</v>
      </c>
      <c r="D11" s="7" t="s">
        <v>158</v>
      </c>
      <c r="E11" s="7" t="s">
        <v>159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136</v>
      </c>
      <c r="C16" s="5">
        <v>53</v>
      </c>
      <c r="D16" s="5">
        <v>68</v>
      </c>
      <c r="E16" s="5">
        <v>63</v>
      </c>
    </row>
    <row r="17" spans="1:5" ht="15" customHeight="1" x14ac:dyDescent="0.25">
      <c r="A17" s="3" t="s">
        <v>7</v>
      </c>
      <c r="B17" s="5">
        <v>207</v>
      </c>
      <c r="C17" s="5">
        <v>123</v>
      </c>
      <c r="D17" s="5">
        <v>164</v>
      </c>
      <c r="E17" s="5">
        <v>105</v>
      </c>
    </row>
    <row r="18" spans="1:5" ht="15" customHeight="1" x14ac:dyDescent="0.25">
      <c r="A18" s="3" t="s">
        <v>8</v>
      </c>
      <c r="B18" s="5">
        <v>189</v>
      </c>
      <c r="C18" s="5">
        <v>78</v>
      </c>
      <c r="D18" s="5">
        <v>74</v>
      </c>
      <c r="E18" s="5">
        <v>65</v>
      </c>
    </row>
    <row r="19" spans="1:5" ht="15" customHeight="1" x14ac:dyDescent="0.25">
      <c r="A19" s="3" t="s">
        <v>9</v>
      </c>
      <c r="B19" s="5">
        <v>212</v>
      </c>
      <c r="C19" s="5">
        <v>124</v>
      </c>
      <c r="D19" s="5">
        <v>186</v>
      </c>
      <c r="E19" s="5">
        <v>121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250</v>
      </c>
      <c r="C23" s="5">
        <v>250</v>
      </c>
      <c r="D23" s="5">
        <v>250</v>
      </c>
      <c r="E23" s="5">
        <v>250</v>
      </c>
    </row>
    <row r="24" spans="1:5" ht="15" customHeight="1" x14ac:dyDescent="0.25">
      <c r="A24" s="3" t="s">
        <v>7</v>
      </c>
      <c r="B24" s="5">
        <v>250</v>
      </c>
      <c r="C24" s="5">
        <v>250</v>
      </c>
      <c r="D24" s="5">
        <v>250</v>
      </c>
      <c r="E24" s="5">
        <v>250</v>
      </c>
    </row>
    <row r="25" spans="1:5" ht="15" customHeight="1" x14ac:dyDescent="0.25">
      <c r="A25" s="3" t="s">
        <v>8</v>
      </c>
      <c r="B25" s="5">
        <v>250</v>
      </c>
      <c r="C25" s="5">
        <v>250</v>
      </c>
      <c r="D25" s="5">
        <v>250</v>
      </c>
      <c r="E25" s="5">
        <v>250</v>
      </c>
    </row>
    <row r="26" spans="1:5" ht="15" customHeight="1" x14ac:dyDescent="0.25">
      <c r="A26" s="3" t="s">
        <v>9</v>
      </c>
      <c r="B26" s="5">
        <v>250</v>
      </c>
      <c r="C26" s="5">
        <v>250</v>
      </c>
      <c r="D26" s="5">
        <v>250</v>
      </c>
      <c r="E26" s="5">
        <v>250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250</v>
      </c>
      <c r="C30" s="5">
        <v>250</v>
      </c>
      <c r="D30" s="5">
        <v>249</v>
      </c>
      <c r="E30" s="5">
        <v>250</v>
      </c>
    </row>
    <row r="31" spans="1:5" ht="15" customHeight="1" x14ac:dyDescent="0.25">
      <c r="A31" s="3" t="s">
        <v>7</v>
      </c>
      <c r="B31" s="5">
        <v>250</v>
      </c>
      <c r="C31" s="5">
        <v>250</v>
      </c>
      <c r="D31" s="5">
        <v>250</v>
      </c>
      <c r="E31" s="5">
        <v>250</v>
      </c>
    </row>
    <row r="32" spans="1:5" ht="15" customHeight="1" x14ac:dyDescent="0.25">
      <c r="A32" s="3" t="s">
        <v>8</v>
      </c>
      <c r="B32" s="5">
        <v>248</v>
      </c>
      <c r="C32" s="5">
        <v>250</v>
      </c>
      <c r="D32" s="5">
        <v>250</v>
      </c>
      <c r="E32" s="5">
        <v>250</v>
      </c>
    </row>
    <row r="33" spans="1:5" ht="15" customHeight="1" x14ac:dyDescent="0.25">
      <c r="A33" s="3" t="s">
        <v>9</v>
      </c>
      <c r="B33" s="5">
        <v>250</v>
      </c>
      <c r="C33" s="5">
        <v>250</v>
      </c>
      <c r="D33" s="5">
        <v>247</v>
      </c>
      <c r="E33" s="5">
        <v>250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1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2</v>
      </c>
      <c r="C39" s="5">
        <v>0</v>
      </c>
      <c r="D39" s="5">
        <v>0</v>
      </c>
      <c r="E39" s="5">
        <v>0</v>
      </c>
    </row>
    <row r="40" spans="1:5" ht="15" customHeight="1" x14ac:dyDescent="0.25">
      <c r="A40" s="3" t="s">
        <v>9</v>
      </c>
      <c r="B40" s="5">
        <v>0</v>
      </c>
      <c r="C40" s="5">
        <v>0</v>
      </c>
      <c r="D40" s="5">
        <v>3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0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0</v>
      </c>
      <c r="D47" s="5">
        <v>0</v>
      </c>
      <c r="E47" s="5">
        <v>0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0.54400000000000004</v>
      </c>
      <c r="C51" s="4">
        <v>0.21199999999999999</v>
      </c>
      <c r="D51" s="4">
        <v>0.27200000000000002</v>
      </c>
      <c r="E51" s="4">
        <v>0.252</v>
      </c>
    </row>
    <row r="52" spans="1:5" ht="15" customHeight="1" x14ac:dyDescent="0.25">
      <c r="A52" s="3" t="s">
        <v>7</v>
      </c>
      <c r="B52" s="4">
        <v>0.82799999999999996</v>
      </c>
      <c r="C52" s="4">
        <v>0.49199999999999999</v>
      </c>
      <c r="D52" s="4">
        <v>0.65600000000000003</v>
      </c>
      <c r="E52" s="4">
        <v>0.42</v>
      </c>
    </row>
    <row r="53" spans="1:5" ht="15" customHeight="1" x14ac:dyDescent="0.25">
      <c r="A53" s="3" t="s">
        <v>8</v>
      </c>
      <c r="B53" s="4">
        <v>0.75600000000000001</v>
      </c>
      <c r="C53" s="4">
        <v>0.312</v>
      </c>
      <c r="D53" s="4">
        <v>0.29599999999999999</v>
      </c>
      <c r="E53" s="4">
        <v>0.26</v>
      </c>
    </row>
    <row r="54" spans="1:5" ht="15" customHeight="1" x14ac:dyDescent="0.25">
      <c r="A54" s="3" t="s">
        <v>9</v>
      </c>
      <c r="B54" s="4">
        <v>0.84799999999999998</v>
      </c>
      <c r="C54" s="4">
        <v>0.496</v>
      </c>
      <c r="D54" s="4">
        <v>0.74399999999999999</v>
      </c>
      <c r="E54" s="4">
        <v>0.48399999999999999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0.48206040323620208</v>
      </c>
      <c r="C58" s="4">
        <v>0.16588954792475991</v>
      </c>
      <c r="D58" s="4">
        <v>0.22060022692686901</v>
      </c>
      <c r="E58" s="4">
        <v>0.20221193512538921</v>
      </c>
    </row>
    <row r="59" spans="1:5" ht="15" customHeight="1" x14ac:dyDescent="0.25">
      <c r="A59" s="3" t="s">
        <v>7</v>
      </c>
      <c r="B59" s="4">
        <v>0.77634727992484054</v>
      </c>
      <c r="C59" s="4">
        <v>0.43062008266589891</v>
      </c>
      <c r="D59" s="4">
        <v>0.59515318772702508</v>
      </c>
      <c r="E59" s="4">
        <v>0.36048227303485092</v>
      </c>
    </row>
    <row r="60" spans="1:5" ht="15" customHeight="1" x14ac:dyDescent="0.25">
      <c r="A60" s="3" t="s">
        <v>8</v>
      </c>
      <c r="B60" s="4">
        <v>0.69914891996088502</v>
      </c>
      <c r="C60" s="4">
        <v>0.25777888902447982</v>
      </c>
      <c r="D60" s="4">
        <v>0.2428460316290024</v>
      </c>
      <c r="E60" s="4">
        <v>0.20955021872073459</v>
      </c>
    </row>
    <row r="61" spans="1:5" ht="15" customHeight="1" x14ac:dyDescent="0.25">
      <c r="A61" s="3" t="s">
        <v>9</v>
      </c>
      <c r="B61" s="4">
        <v>0.79825489083292467</v>
      </c>
      <c r="C61" s="4">
        <v>0.43455373353048748</v>
      </c>
      <c r="D61" s="4">
        <v>0.68649313207156493</v>
      </c>
      <c r="E61" s="4">
        <v>0.42276441831359568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0.60460786640819886</v>
      </c>
      <c r="C65" s="4">
        <v>0.26682723258461621</v>
      </c>
      <c r="D65" s="4">
        <v>0.33030055764305372</v>
      </c>
      <c r="E65" s="4">
        <v>0.30929418142435122</v>
      </c>
    </row>
    <row r="66" spans="1:10" ht="15" customHeight="1" x14ac:dyDescent="0.25">
      <c r="A66" s="3" t="s">
        <v>7</v>
      </c>
      <c r="B66" s="4">
        <v>0.86972527560614776</v>
      </c>
      <c r="C66" s="4">
        <v>0.55362205012602805</v>
      </c>
      <c r="D66" s="4">
        <v>0.71212522283039625</v>
      </c>
      <c r="E66" s="4">
        <v>0.48193905488442013</v>
      </c>
    </row>
    <row r="67" spans="1:10" ht="15" customHeight="1" x14ac:dyDescent="0.25">
      <c r="A67" s="3" t="s">
        <v>8</v>
      </c>
      <c r="B67" s="4">
        <v>0.80510283069744737</v>
      </c>
      <c r="C67" s="4">
        <v>0.3719112315858073</v>
      </c>
      <c r="D67" s="4">
        <v>0.35532835456513889</v>
      </c>
      <c r="E67" s="4">
        <v>0.31771376503707871</v>
      </c>
    </row>
    <row r="68" spans="1:10" ht="15" customHeight="1" x14ac:dyDescent="0.25">
      <c r="A68" s="3" t="s">
        <v>9</v>
      </c>
      <c r="B68" s="4">
        <v>0.88721233271824584</v>
      </c>
      <c r="C68" s="4">
        <v>0.557567332865476</v>
      </c>
      <c r="D68" s="4">
        <v>0.79412181777465818</v>
      </c>
      <c r="E68" s="4">
        <v>0.54571984727025846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136</v>
      </c>
      <c r="D73" s="5">
        <v>250</v>
      </c>
      <c r="E73" s="5">
        <v>250</v>
      </c>
      <c r="F73" s="5">
        <v>0</v>
      </c>
      <c r="G73" s="5">
        <v>0</v>
      </c>
      <c r="H73" s="4">
        <v>0.54400000000000004</v>
      </c>
      <c r="I73" s="4">
        <v>0.48206040323620208</v>
      </c>
      <c r="J73" s="4">
        <v>0.60460786640819886</v>
      </c>
    </row>
    <row r="74" spans="1:10" ht="15" customHeight="1" x14ac:dyDescent="0.25">
      <c r="A74" s="3" t="s">
        <v>6</v>
      </c>
      <c r="B74" s="3" t="s">
        <v>7</v>
      </c>
      <c r="C74" s="5">
        <v>53</v>
      </c>
      <c r="D74" s="5">
        <v>250</v>
      </c>
      <c r="E74" s="5">
        <v>250</v>
      </c>
      <c r="F74" s="5">
        <v>0</v>
      </c>
      <c r="G74" s="5">
        <v>0</v>
      </c>
      <c r="H74" s="4">
        <v>0.21199999999999999</v>
      </c>
      <c r="I74" s="4">
        <v>0.16588954792475991</v>
      </c>
      <c r="J74" s="4">
        <v>0.26682723258461621</v>
      </c>
    </row>
    <row r="75" spans="1:10" ht="15" customHeight="1" x14ac:dyDescent="0.25">
      <c r="A75" s="3" t="s">
        <v>6</v>
      </c>
      <c r="B75" s="3" t="s">
        <v>8</v>
      </c>
      <c r="C75" s="5">
        <v>68</v>
      </c>
      <c r="D75" s="5">
        <v>250</v>
      </c>
      <c r="E75" s="5">
        <v>249</v>
      </c>
      <c r="F75" s="5">
        <v>1</v>
      </c>
      <c r="G75" s="5">
        <v>0</v>
      </c>
      <c r="H75" s="4">
        <v>0.27200000000000002</v>
      </c>
      <c r="I75" s="4">
        <v>0.22060022692686901</v>
      </c>
      <c r="J75" s="4">
        <v>0.33030055764305372</v>
      </c>
    </row>
    <row r="76" spans="1:10" ht="15" customHeight="1" x14ac:dyDescent="0.25">
      <c r="A76" s="3" t="s">
        <v>6</v>
      </c>
      <c r="B76" s="3" t="s">
        <v>9</v>
      </c>
      <c r="C76" s="5">
        <v>63</v>
      </c>
      <c r="D76" s="5">
        <v>250</v>
      </c>
      <c r="E76" s="5">
        <v>250</v>
      </c>
      <c r="F76" s="5">
        <v>0</v>
      </c>
      <c r="G76" s="5">
        <v>0</v>
      </c>
      <c r="H76" s="4">
        <v>0.252</v>
      </c>
      <c r="I76" s="4">
        <v>0.20221193512538921</v>
      </c>
      <c r="J76" s="4">
        <v>0.30929418142435122</v>
      </c>
    </row>
    <row r="77" spans="1:10" ht="15" customHeight="1" x14ac:dyDescent="0.25">
      <c r="A77" s="3" t="s">
        <v>7</v>
      </c>
      <c r="B77" s="3" t="s">
        <v>6</v>
      </c>
      <c r="C77" s="5">
        <v>207</v>
      </c>
      <c r="D77" s="5">
        <v>250</v>
      </c>
      <c r="E77" s="5">
        <v>250</v>
      </c>
      <c r="F77" s="5">
        <v>0</v>
      </c>
      <c r="G77" s="5">
        <v>0</v>
      </c>
      <c r="H77" s="4">
        <v>0.82799999999999996</v>
      </c>
      <c r="I77" s="4">
        <v>0.77634727992484054</v>
      </c>
      <c r="J77" s="4">
        <v>0.86972527560614776</v>
      </c>
    </row>
    <row r="78" spans="1:10" ht="15" customHeight="1" x14ac:dyDescent="0.25">
      <c r="A78" s="3" t="s">
        <v>7</v>
      </c>
      <c r="B78" s="3" t="s">
        <v>7</v>
      </c>
      <c r="C78" s="5">
        <v>123</v>
      </c>
      <c r="D78" s="5">
        <v>250</v>
      </c>
      <c r="E78" s="5">
        <v>250</v>
      </c>
      <c r="F78" s="5">
        <v>0</v>
      </c>
      <c r="G78" s="5">
        <v>0</v>
      </c>
      <c r="H78" s="4">
        <v>0.49199999999999999</v>
      </c>
      <c r="I78" s="4">
        <v>0.43062008266589891</v>
      </c>
      <c r="J78" s="4">
        <v>0.55362205012602805</v>
      </c>
    </row>
    <row r="79" spans="1:10" ht="15" customHeight="1" x14ac:dyDescent="0.25">
      <c r="A79" s="3" t="s">
        <v>7</v>
      </c>
      <c r="B79" s="3" t="s">
        <v>8</v>
      </c>
      <c r="C79" s="5">
        <v>164</v>
      </c>
      <c r="D79" s="5">
        <v>250</v>
      </c>
      <c r="E79" s="5">
        <v>250</v>
      </c>
      <c r="F79" s="5">
        <v>0</v>
      </c>
      <c r="G79" s="5">
        <v>0</v>
      </c>
      <c r="H79" s="4">
        <v>0.65600000000000003</v>
      </c>
      <c r="I79" s="4">
        <v>0.59515318772702508</v>
      </c>
      <c r="J79" s="4">
        <v>0.71212522283039625</v>
      </c>
    </row>
    <row r="80" spans="1:10" ht="15" customHeight="1" x14ac:dyDescent="0.25">
      <c r="A80" s="3" t="s">
        <v>7</v>
      </c>
      <c r="B80" s="3" t="s">
        <v>9</v>
      </c>
      <c r="C80" s="5">
        <v>105</v>
      </c>
      <c r="D80" s="5">
        <v>250</v>
      </c>
      <c r="E80" s="5">
        <v>250</v>
      </c>
      <c r="F80" s="5">
        <v>0</v>
      </c>
      <c r="G80" s="5">
        <v>0</v>
      </c>
      <c r="H80" s="4">
        <v>0.42</v>
      </c>
      <c r="I80" s="4">
        <v>0.36048227303485092</v>
      </c>
      <c r="J80" s="4">
        <v>0.48193905488442013</v>
      </c>
    </row>
    <row r="81" spans="1:10" ht="15" customHeight="1" x14ac:dyDescent="0.25">
      <c r="A81" s="3" t="s">
        <v>8</v>
      </c>
      <c r="B81" s="3" t="s">
        <v>6</v>
      </c>
      <c r="C81" s="5">
        <v>189</v>
      </c>
      <c r="D81" s="5">
        <v>250</v>
      </c>
      <c r="E81" s="5">
        <v>248</v>
      </c>
      <c r="F81" s="5">
        <v>2</v>
      </c>
      <c r="G81" s="5">
        <v>0</v>
      </c>
      <c r="H81" s="4">
        <v>0.75600000000000001</v>
      </c>
      <c r="I81" s="4">
        <v>0.69914891996088502</v>
      </c>
      <c r="J81" s="4">
        <v>0.80510283069744737</v>
      </c>
    </row>
    <row r="82" spans="1:10" ht="15" customHeight="1" x14ac:dyDescent="0.25">
      <c r="A82" s="3" t="s">
        <v>8</v>
      </c>
      <c r="B82" s="3" t="s">
        <v>7</v>
      </c>
      <c r="C82" s="5">
        <v>78</v>
      </c>
      <c r="D82" s="5">
        <v>250</v>
      </c>
      <c r="E82" s="5">
        <v>250</v>
      </c>
      <c r="F82" s="5">
        <v>0</v>
      </c>
      <c r="G82" s="5">
        <v>0</v>
      </c>
      <c r="H82" s="4">
        <v>0.312</v>
      </c>
      <c r="I82" s="4">
        <v>0.25777888902447982</v>
      </c>
      <c r="J82" s="4">
        <v>0.3719112315858073</v>
      </c>
    </row>
    <row r="83" spans="1:10" ht="15" customHeight="1" x14ac:dyDescent="0.25">
      <c r="A83" s="3" t="s">
        <v>8</v>
      </c>
      <c r="B83" s="3" t="s">
        <v>8</v>
      </c>
      <c r="C83" s="5">
        <v>74</v>
      </c>
      <c r="D83" s="5">
        <v>250</v>
      </c>
      <c r="E83" s="5">
        <v>250</v>
      </c>
      <c r="F83" s="5">
        <v>0</v>
      </c>
      <c r="G83" s="5">
        <v>0</v>
      </c>
      <c r="H83" s="4">
        <v>0.29599999999999999</v>
      </c>
      <c r="I83" s="4">
        <v>0.2428460316290024</v>
      </c>
      <c r="J83" s="4">
        <v>0.35532835456513889</v>
      </c>
    </row>
    <row r="84" spans="1:10" ht="15" customHeight="1" x14ac:dyDescent="0.25">
      <c r="A84" s="3" t="s">
        <v>8</v>
      </c>
      <c r="B84" s="3" t="s">
        <v>9</v>
      </c>
      <c r="C84" s="5">
        <v>65</v>
      </c>
      <c r="D84" s="5">
        <v>250</v>
      </c>
      <c r="E84" s="5">
        <v>250</v>
      </c>
      <c r="F84" s="5">
        <v>0</v>
      </c>
      <c r="G84" s="5">
        <v>0</v>
      </c>
      <c r="H84" s="4">
        <v>0.26</v>
      </c>
      <c r="I84" s="4">
        <v>0.20955021872073459</v>
      </c>
      <c r="J84" s="4">
        <v>0.31771376503707871</v>
      </c>
    </row>
    <row r="85" spans="1:10" ht="15" customHeight="1" x14ac:dyDescent="0.25">
      <c r="A85" s="3" t="s">
        <v>9</v>
      </c>
      <c r="B85" s="3" t="s">
        <v>6</v>
      </c>
      <c r="C85" s="5">
        <v>212</v>
      </c>
      <c r="D85" s="5">
        <v>250</v>
      </c>
      <c r="E85" s="5">
        <v>250</v>
      </c>
      <c r="F85" s="5">
        <v>0</v>
      </c>
      <c r="G85" s="5">
        <v>0</v>
      </c>
      <c r="H85" s="4">
        <v>0.84799999999999998</v>
      </c>
      <c r="I85" s="4">
        <v>0.79825489083292467</v>
      </c>
      <c r="J85" s="4">
        <v>0.88721233271824584</v>
      </c>
    </row>
    <row r="86" spans="1:10" ht="15" customHeight="1" x14ac:dyDescent="0.25">
      <c r="A86" s="3" t="s">
        <v>9</v>
      </c>
      <c r="B86" s="3" t="s">
        <v>7</v>
      </c>
      <c r="C86" s="5">
        <v>124</v>
      </c>
      <c r="D86" s="5">
        <v>250</v>
      </c>
      <c r="E86" s="5">
        <v>250</v>
      </c>
      <c r="F86" s="5">
        <v>0</v>
      </c>
      <c r="G86" s="5">
        <v>0</v>
      </c>
      <c r="H86" s="4">
        <v>0.496</v>
      </c>
      <c r="I86" s="4">
        <v>0.43455373353048748</v>
      </c>
      <c r="J86" s="4">
        <v>0.557567332865476</v>
      </c>
    </row>
    <row r="87" spans="1:10" ht="15" customHeight="1" x14ac:dyDescent="0.25">
      <c r="A87" s="3" t="s">
        <v>9</v>
      </c>
      <c r="B87" s="3" t="s">
        <v>8</v>
      </c>
      <c r="C87" s="5">
        <v>186</v>
      </c>
      <c r="D87" s="5">
        <v>250</v>
      </c>
      <c r="E87" s="5">
        <v>247</v>
      </c>
      <c r="F87" s="5">
        <v>3</v>
      </c>
      <c r="G87" s="5">
        <v>0</v>
      </c>
      <c r="H87" s="4">
        <v>0.74399999999999999</v>
      </c>
      <c r="I87" s="4">
        <v>0.68649313207156493</v>
      </c>
      <c r="J87" s="4">
        <v>0.79412181777465818</v>
      </c>
    </row>
    <row r="88" spans="1:10" ht="15" customHeight="1" x14ac:dyDescent="0.25">
      <c r="A88" s="3" t="s">
        <v>9</v>
      </c>
      <c r="B88" s="3" t="s">
        <v>9</v>
      </c>
      <c r="C88" s="5">
        <v>121</v>
      </c>
      <c r="D88" s="5">
        <v>250</v>
      </c>
      <c r="E88" s="5">
        <v>250</v>
      </c>
      <c r="F88" s="5">
        <v>0</v>
      </c>
      <c r="G88" s="5">
        <v>0</v>
      </c>
      <c r="H88" s="4">
        <v>0.48399999999999999</v>
      </c>
      <c r="I88" s="4">
        <v>0.42276441831359568</v>
      </c>
      <c r="J88" s="4">
        <v>0.54571984727025846</v>
      </c>
    </row>
  </sheetData>
  <pageMargins left="0.25" right="0.25" top="0.5" bottom="0.5" header="0.2" footer="0.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8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67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160</v>
      </c>
    </row>
    <row r="4" spans="1:5" ht="42" customHeight="1" x14ac:dyDescent="0.25">
      <c r="A4" s="2" t="s">
        <v>114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161</v>
      </c>
      <c r="C8" s="7" t="s">
        <v>162</v>
      </c>
      <c r="D8" s="7" t="s">
        <v>163</v>
      </c>
      <c r="E8" s="7" t="s">
        <v>164</v>
      </c>
    </row>
    <row r="9" spans="1:5" ht="30" customHeight="1" x14ac:dyDescent="0.25">
      <c r="A9" s="3" t="s">
        <v>7</v>
      </c>
      <c r="B9" s="7" t="s">
        <v>165</v>
      </c>
      <c r="C9" s="7" t="s">
        <v>166</v>
      </c>
      <c r="D9" s="7" t="s">
        <v>167</v>
      </c>
      <c r="E9" s="7" t="s">
        <v>168</v>
      </c>
    </row>
    <row r="10" spans="1:5" ht="30" customHeight="1" x14ac:dyDescent="0.25">
      <c r="A10" s="3" t="s">
        <v>8</v>
      </c>
      <c r="B10" s="7" t="s">
        <v>158</v>
      </c>
      <c r="C10" s="7" t="s">
        <v>141</v>
      </c>
      <c r="D10" s="7" t="s">
        <v>169</v>
      </c>
      <c r="E10" s="7" t="s">
        <v>139</v>
      </c>
    </row>
    <row r="11" spans="1:5" ht="30" customHeight="1" x14ac:dyDescent="0.25">
      <c r="A11" s="3" t="s">
        <v>9</v>
      </c>
      <c r="B11" s="7" t="s">
        <v>170</v>
      </c>
      <c r="C11" s="7" t="s">
        <v>171</v>
      </c>
      <c r="D11" s="7" t="s">
        <v>172</v>
      </c>
      <c r="E11" s="7" t="s">
        <v>173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134</v>
      </c>
      <c r="C16" s="5">
        <v>57</v>
      </c>
      <c r="D16" s="5">
        <v>72</v>
      </c>
      <c r="E16" s="5">
        <v>60</v>
      </c>
    </row>
    <row r="17" spans="1:5" ht="15" customHeight="1" x14ac:dyDescent="0.25">
      <c r="A17" s="3" t="s">
        <v>7</v>
      </c>
      <c r="B17" s="5">
        <v>218</v>
      </c>
      <c r="C17" s="5">
        <v>137</v>
      </c>
      <c r="D17" s="5">
        <v>170</v>
      </c>
      <c r="E17" s="5">
        <v>126</v>
      </c>
    </row>
    <row r="18" spans="1:5" ht="15" customHeight="1" x14ac:dyDescent="0.25">
      <c r="A18" s="3" t="s">
        <v>8</v>
      </c>
      <c r="B18" s="5">
        <v>186</v>
      </c>
      <c r="C18" s="5">
        <v>75</v>
      </c>
      <c r="D18" s="5">
        <v>86</v>
      </c>
      <c r="E18" s="5">
        <v>70</v>
      </c>
    </row>
    <row r="19" spans="1:5" ht="15" customHeight="1" x14ac:dyDescent="0.25">
      <c r="A19" s="3" t="s">
        <v>9</v>
      </c>
      <c r="B19" s="5">
        <v>208</v>
      </c>
      <c r="C19" s="5">
        <v>119</v>
      </c>
      <c r="D19" s="5">
        <v>182</v>
      </c>
      <c r="E19" s="5">
        <v>125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250</v>
      </c>
      <c r="C23" s="5">
        <v>250</v>
      </c>
      <c r="D23" s="5">
        <v>250</v>
      </c>
      <c r="E23" s="5">
        <v>250</v>
      </c>
    </row>
    <row r="24" spans="1:5" ht="15" customHeight="1" x14ac:dyDescent="0.25">
      <c r="A24" s="3" t="s">
        <v>7</v>
      </c>
      <c r="B24" s="5">
        <v>250</v>
      </c>
      <c r="C24" s="5">
        <v>250</v>
      </c>
      <c r="D24" s="5">
        <v>250</v>
      </c>
      <c r="E24" s="5">
        <v>250</v>
      </c>
    </row>
    <row r="25" spans="1:5" ht="15" customHeight="1" x14ac:dyDescent="0.25">
      <c r="A25" s="3" t="s">
        <v>8</v>
      </c>
      <c r="B25" s="5">
        <v>250</v>
      </c>
      <c r="C25" s="5">
        <v>250</v>
      </c>
      <c r="D25" s="5">
        <v>250</v>
      </c>
      <c r="E25" s="5">
        <v>250</v>
      </c>
    </row>
    <row r="26" spans="1:5" ht="15" customHeight="1" x14ac:dyDescent="0.25">
      <c r="A26" s="3" t="s">
        <v>9</v>
      </c>
      <c r="B26" s="5">
        <v>250</v>
      </c>
      <c r="C26" s="5">
        <v>250</v>
      </c>
      <c r="D26" s="5">
        <v>250</v>
      </c>
      <c r="E26" s="5">
        <v>250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250</v>
      </c>
      <c r="C30" s="5">
        <v>250</v>
      </c>
      <c r="D30" s="5">
        <v>249</v>
      </c>
      <c r="E30" s="5">
        <v>250</v>
      </c>
    </row>
    <row r="31" spans="1:5" ht="15" customHeight="1" x14ac:dyDescent="0.25">
      <c r="A31" s="3" t="s">
        <v>7</v>
      </c>
      <c r="B31" s="5">
        <v>250</v>
      </c>
      <c r="C31" s="5">
        <v>250</v>
      </c>
      <c r="D31" s="5">
        <v>250</v>
      </c>
      <c r="E31" s="5">
        <v>250</v>
      </c>
    </row>
    <row r="32" spans="1:5" ht="15" customHeight="1" x14ac:dyDescent="0.25">
      <c r="A32" s="3" t="s">
        <v>8</v>
      </c>
      <c r="B32" s="5">
        <v>248</v>
      </c>
      <c r="C32" s="5">
        <v>250</v>
      </c>
      <c r="D32" s="5">
        <v>250</v>
      </c>
      <c r="E32" s="5">
        <v>250</v>
      </c>
    </row>
    <row r="33" spans="1:5" ht="15" customHeight="1" x14ac:dyDescent="0.25">
      <c r="A33" s="3" t="s">
        <v>9</v>
      </c>
      <c r="B33" s="5">
        <v>250</v>
      </c>
      <c r="C33" s="5">
        <v>250</v>
      </c>
      <c r="D33" s="5">
        <v>247</v>
      </c>
      <c r="E33" s="5">
        <v>250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1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2</v>
      </c>
      <c r="C39" s="5">
        <v>0</v>
      </c>
      <c r="D39" s="5">
        <v>0</v>
      </c>
      <c r="E39" s="5">
        <v>0</v>
      </c>
    </row>
    <row r="40" spans="1:5" ht="15" customHeight="1" x14ac:dyDescent="0.25">
      <c r="A40" s="3" t="s">
        <v>9</v>
      </c>
      <c r="B40" s="5">
        <v>0</v>
      </c>
      <c r="C40" s="5">
        <v>0</v>
      </c>
      <c r="D40" s="5">
        <v>3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0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0</v>
      </c>
      <c r="D47" s="5">
        <v>0</v>
      </c>
      <c r="E47" s="5">
        <v>0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0.53600000000000003</v>
      </c>
      <c r="C51" s="4">
        <v>0.22800000000000001</v>
      </c>
      <c r="D51" s="4">
        <v>0.28799999999999998</v>
      </c>
      <c r="E51" s="4">
        <v>0.24</v>
      </c>
    </row>
    <row r="52" spans="1:5" ht="15" customHeight="1" x14ac:dyDescent="0.25">
      <c r="A52" s="3" t="s">
        <v>7</v>
      </c>
      <c r="B52" s="4">
        <v>0.872</v>
      </c>
      <c r="C52" s="4">
        <v>0.54800000000000004</v>
      </c>
      <c r="D52" s="4">
        <v>0.68</v>
      </c>
      <c r="E52" s="4">
        <v>0.504</v>
      </c>
    </row>
    <row r="53" spans="1:5" ht="15" customHeight="1" x14ac:dyDescent="0.25">
      <c r="A53" s="3" t="s">
        <v>8</v>
      </c>
      <c r="B53" s="4">
        <v>0.74399999999999999</v>
      </c>
      <c r="C53" s="4">
        <v>0.3</v>
      </c>
      <c r="D53" s="4">
        <v>0.34399999999999997</v>
      </c>
      <c r="E53" s="4">
        <v>0.28000000000000003</v>
      </c>
    </row>
    <row r="54" spans="1:5" ht="15" customHeight="1" x14ac:dyDescent="0.25">
      <c r="A54" s="3" t="s">
        <v>9</v>
      </c>
      <c r="B54" s="4">
        <v>0.83199999999999996</v>
      </c>
      <c r="C54" s="4">
        <v>0.47599999999999998</v>
      </c>
      <c r="D54" s="4">
        <v>0.72799999999999998</v>
      </c>
      <c r="E54" s="4">
        <v>0.5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0.47410368189363761</v>
      </c>
      <c r="C58" s="4">
        <v>0.18034129807610469</v>
      </c>
      <c r="D58" s="4">
        <v>0.23540981157275129</v>
      </c>
      <c r="E58" s="4">
        <v>0.19124884041749651</v>
      </c>
    </row>
    <row r="59" spans="1:5" ht="15" customHeight="1" x14ac:dyDescent="0.25">
      <c r="A59" s="3" t="s">
        <v>7</v>
      </c>
      <c r="B59" s="4">
        <v>0.82488775824981098</v>
      </c>
      <c r="C59" s="4">
        <v>0.48604464273690812</v>
      </c>
      <c r="D59" s="4">
        <v>0.61982667090732135</v>
      </c>
      <c r="E59" s="4">
        <v>0.44243266713452389</v>
      </c>
    </row>
    <row r="60" spans="1:5" ht="15" customHeight="1" x14ac:dyDescent="0.25">
      <c r="A60" s="3" t="s">
        <v>8</v>
      </c>
      <c r="B60" s="4">
        <v>0.68649313207156493</v>
      </c>
      <c r="C60" s="4">
        <v>0.24657177911639561</v>
      </c>
      <c r="D60" s="4">
        <v>0.28787477716960369</v>
      </c>
      <c r="E60" s="4">
        <v>0.2279943677779015</v>
      </c>
    </row>
    <row r="61" spans="1:5" ht="15" customHeight="1" x14ac:dyDescent="0.25">
      <c r="A61" s="3" t="s">
        <v>9</v>
      </c>
      <c r="B61" s="4">
        <v>0.78071004222845619</v>
      </c>
      <c r="C61" s="4">
        <v>0.41492428638011181</v>
      </c>
      <c r="D61" s="4">
        <v>0.66969944235694623</v>
      </c>
      <c r="E61" s="4">
        <v>0.43849126180890108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0.59680672054269046</v>
      </c>
      <c r="C65" s="4">
        <v>0.28389121684941721</v>
      </c>
      <c r="D65" s="4">
        <v>0.34700670741331707</v>
      </c>
      <c r="E65" s="4">
        <v>0.29662047532013469</v>
      </c>
    </row>
    <row r="66" spans="1:10" ht="15" customHeight="1" x14ac:dyDescent="0.25">
      <c r="A66" s="3" t="s">
        <v>7</v>
      </c>
      <c r="B66" s="4">
        <v>0.9078530669255781</v>
      </c>
      <c r="C66" s="4">
        <v>0.60850256051152929</v>
      </c>
      <c r="D66" s="4">
        <v>0.73472534127431877</v>
      </c>
      <c r="E66" s="4">
        <v>0.56544626646951246</v>
      </c>
    </row>
    <row r="67" spans="1:10" ht="15" customHeight="1" x14ac:dyDescent="0.25">
      <c r="A67" s="3" t="s">
        <v>8</v>
      </c>
      <c r="B67" s="4">
        <v>0.79412181777465818</v>
      </c>
      <c r="C67" s="4">
        <v>0.35948154068178217</v>
      </c>
      <c r="D67" s="4">
        <v>0.40484681227297492</v>
      </c>
      <c r="E67" s="4">
        <v>0.33866428400009402</v>
      </c>
    </row>
    <row r="68" spans="1:10" ht="15" customHeight="1" x14ac:dyDescent="0.25">
      <c r="A68" s="3" t="s">
        <v>9</v>
      </c>
      <c r="B68" s="4">
        <v>0.87324144690656846</v>
      </c>
      <c r="C68" s="4">
        <v>0.53780211199566941</v>
      </c>
      <c r="D68" s="4">
        <v>0.77939977307313102</v>
      </c>
      <c r="E68" s="4">
        <v>0.56150873819109881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134</v>
      </c>
      <c r="D73" s="5">
        <v>250</v>
      </c>
      <c r="E73" s="5">
        <v>250</v>
      </c>
      <c r="F73" s="5">
        <v>0</v>
      </c>
      <c r="G73" s="5">
        <v>0</v>
      </c>
      <c r="H73" s="4">
        <v>0.53600000000000003</v>
      </c>
      <c r="I73" s="4">
        <v>0.47410368189363761</v>
      </c>
      <c r="J73" s="4">
        <v>0.59680672054269046</v>
      </c>
    </row>
    <row r="74" spans="1:10" ht="15" customHeight="1" x14ac:dyDescent="0.25">
      <c r="A74" s="3" t="s">
        <v>6</v>
      </c>
      <c r="B74" s="3" t="s">
        <v>7</v>
      </c>
      <c r="C74" s="5">
        <v>57</v>
      </c>
      <c r="D74" s="5">
        <v>250</v>
      </c>
      <c r="E74" s="5">
        <v>250</v>
      </c>
      <c r="F74" s="5">
        <v>0</v>
      </c>
      <c r="G74" s="5">
        <v>0</v>
      </c>
      <c r="H74" s="4">
        <v>0.22800000000000001</v>
      </c>
      <c r="I74" s="4">
        <v>0.18034129807610469</v>
      </c>
      <c r="J74" s="4">
        <v>0.28389121684941721</v>
      </c>
    </row>
    <row r="75" spans="1:10" ht="15" customHeight="1" x14ac:dyDescent="0.25">
      <c r="A75" s="3" t="s">
        <v>6</v>
      </c>
      <c r="B75" s="3" t="s">
        <v>8</v>
      </c>
      <c r="C75" s="5">
        <v>72</v>
      </c>
      <c r="D75" s="5">
        <v>250</v>
      </c>
      <c r="E75" s="5">
        <v>249</v>
      </c>
      <c r="F75" s="5">
        <v>1</v>
      </c>
      <c r="G75" s="5">
        <v>0</v>
      </c>
      <c r="H75" s="4">
        <v>0.28799999999999998</v>
      </c>
      <c r="I75" s="4">
        <v>0.23540981157275129</v>
      </c>
      <c r="J75" s="4">
        <v>0.34700670741331707</v>
      </c>
    </row>
    <row r="76" spans="1:10" ht="15" customHeight="1" x14ac:dyDescent="0.25">
      <c r="A76" s="3" t="s">
        <v>6</v>
      </c>
      <c r="B76" s="3" t="s">
        <v>9</v>
      </c>
      <c r="C76" s="5">
        <v>60</v>
      </c>
      <c r="D76" s="5">
        <v>250</v>
      </c>
      <c r="E76" s="5">
        <v>250</v>
      </c>
      <c r="F76" s="5">
        <v>0</v>
      </c>
      <c r="G76" s="5">
        <v>0</v>
      </c>
      <c r="H76" s="4">
        <v>0.24</v>
      </c>
      <c r="I76" s="4">
        <v>0.19124884041749651</v>
      </c>
      <c r="J76" s="4">
        <v>0.29662047532013469</v>
      </c>
    </row>
    <row r="77" spans="1:10" ht="15" customHeight="1" x14ac:dyDescent="0.25">
      <c r="A77" s="3" t="s">
        <v>7</v>
      </c>
      <c r="B77" s="3" t="s">
        <v>6</v>
      </c>
      <c r="C77" s="5">
        <v>218</v>
      </c>
      <c r="D77" s="5">
        <v>250</v>
      </c>
      <c r="E77" s="5">
        <v>250</v>
      </c>
      <c r="F77" s="5">
        <v>0</v>
      </c>
      <c r="G77" s="5">
        <v>0</v>
      </c>
      <c r="H77" s="4">
        <v>0.872</v>
      </c>
      <c r="I77" s="4">
        <v>0.82488775824981098</v>
      </c>
      <c r="J77" s="4">
        <v>0.9078530669255781</v>
      </c>
    </row>
    <row r="78" spans="1:10" ht="15" customHeight="1" x14ac:dyDescent="0.25">
      <c r="A78" s="3" t="s">
        <v>7</v>
      </c>
      <c r="B78" s="3" t="s">
        <v>7</v>
      </c>
      <c r="C78" s="5">
        <v>137</v>
      </c>
      <c r="D78" s="5">
        <v>250</v>
      </c>
      <c r="E78" s="5">
        <v>250</v>
      </c>
      <c r="F78" s="5">
        <v>0</v>
      </c>
      <c r="G78" s="5">
        <v>0</v>
      </c>
      <c r="H78" s="4">
        <v>0.54800000000000004</v>
      </c>
      <c r="I78" s="4">
        <v>0.48604464273690812</v>
      </c>
      <c r="J78" s="4">
        <v>0.60850256051152929</v>
      </c>
    </row>
    <row r="79" spans="1:10" ht="15" customHeight="1" x14ac:dyDescent="0.25">
      <c r="A79" s="3" t="s">
        <v>7</v>
      </c>
      <c r="B79" s="3" t="s">
        <v>8</v>
      </c>
      <c r="C79" s="5">
        <v>170</v>
      </c>
      <c r="D79" s="5">
        <v>250</v>
      </c>
      <c r="E79" s="5">
        <v>250</v>
      </c>
      <c r="F79" s="5">
        <v>0</v>
      </c>
      <c r="G79" s="5">
        <v>0</v>
      </c>
      <c r="H79" s="4">
        <v>0.68</v>
      </c>
      <c r="I79" s="4">
        <v>0.61982667090732135</v>
      </c>
      <c r="J79" s="4">
        <v>0.73472534127431877</v>
      </c>
    </row>
    <row r="80" spans="1:10" ht="15" customHeight="1" x14ac:dyDescent="0.25">
      <c r="A80" s="3" t="s">
        <v>7</v>
      </c>
      <c r="B80" s="3" t="s">
        <v>9</v>
      </c>
      <c r="C80" s="5">
        <v>126</v>
      </c>
      <c r="D80" s="5">
        <v>250</v>
      </c>
      <c r="E80" s="5">
        <v>250</v>
      </c>
      <c r="F80" s="5">
        <v>0</v>
      </c>
      <c r="G80" s="5">
        <v>0</v>
      </c>
      <c r="H80" s="4">
        <v>0.504</v>
      </c>
      <c r="I80" s="4">
        <v>0.44243266713452389</v>
      </c>
      <c r="J80" s="4">
        <v>0.56544626646951246</v>
      </c>
    </row>
    <row r="81" spans="1:10" ht="15" customHeight="1" x14ac:dyDescent="0.25">
      <c r="A81" s="3" t="s">
        <v>8</v>
      </c>
      <c r="B81" s="3" t="s">
        <v>6</v>
      </c>
      <c r="C81" s="5">
        <v>186</v>
      </c>
      <c r="D81" s="5">
        <v>250</v>
      </c>
      <c r="E81" s="5">
        <v>248</v>
      </c>
      <c r="F81" s="5">
        <v>2</v>
      </c>
      <c r="G81" s="5">
        <v>0</v>
      </c>
      <c r="H81" s="4">
        <v>0.74399999999999999</v>
      </c>
      <c r="I81" s="4">
        <v>0.68649313207156493</v>
      </c>
      <c r="J81" s="4">
        <v>0.79412181777465818</v>
      </c>
    </row>
    <row r="82" spans="1:10" ht="15" customHeight="1" x14ac:dyDescent="0.25">
      <c r="A82" s="3" t="s">
        <v>8</v>
      </c>
      <c r="B82" s="3" t="s">
        <v>7</v>
      </c>
      <c r="C82" s="5">
        <v>75</v>
      </c>
      <c r="D82" s="5">
        <v>250</v>
      </c>
      <c r="E82" s="5">
        <v>250</v>
      </c>
      <c r="F82" s="5">
        <v>0</v>
      </c>
      <c r="G82" s="5">
        <v>0</v>
      </c>
      <c r="H82" s="4">
        <v>0.3</v>
      </c>
      <c r="I82" s="4">
        <v>0.24657177911639561</v>
      </c>
      <c r="J82" s="4">
        <v>0.35948154068178217</v>
      </c>
    </row>
    <row r="83" spans="1:10" ht="15" customHeight="1" x14ac:dyDescent="0.25">
      <c r="A83" s="3" t="s">
        <v>8</v>
      </c>
      <c r="B83" s="3" t="s">
        <v>8</v>
      </c>
      <c r="C83" s="5">
        <v>86</v>
      </c>
      <c r="D83" s="5">
        <v>250</v>
      </c>
      <c r="E83" s="5">
        <v>250</v>
      </c>
      <c r="F83" s="5">
        <v>0</v>
      </c>
      <c r="G83" s="5">
        <v>0</v>
      </c>
      <c r="H83" s="4">
        <v>0.34399999999999997</v>
      </c>
      <c r="I83" s="4">
        <v>0.28787477716960369</v>
      </c>
      <c r="J83" s="4">
        <v>0.40484681227297492</v>
      </c>
    </row>
    <row r="84" spans="1:10" ht="15" customHeight="1" x14ac:dyDescent="0.25">
      <c r="A84" s="3" t="s">
        <v>8</v>
      </c>
      <c r="B84" s="3" t="s">
        <v>9</v>
      </c>
      <c r="C84" s="5">
        <v>70</v>
      </c>
      <c r="D84" s="5">
        <v>250</v>
      </c>
      <c r="E84" s="5">
        <v>250</v>
      </c>
      <c r="F84" s="5">
        <v>0</v>
      </c>
      <c r="G84" s="5">
        <v>0</v>
      </c>
      <c r="H84" s="4">
        <v>0.28000000000000003</v>
      </c>
      <c r="I84" s="4">
        <v>0.2279943677779015</v>
      </c>
      <c r="J84" s="4">
        <v>0.33866428400009402</v>
      </c>
    </row>
    <row r="85" spans="1:10" ht="15" customHeight="1" x14ac:dyDescent="0.25">
      <c r="A85" s="3" t="s">
        <v>9</v>
      </c>
      <c r="B85" s="3" t="s">
        <v>6</v>
      </c>
      <c r="C85" s="5">
        <v>208</v>
      </c>
      <c r="D85" s="5">
        <v>250</v>
      </c>
      <c r="E85" s="5">
        <v>250</v>
      </c>
      <c r="F85" s="5">
        <v>0</v>
      </c>
      <c r="G85" s="5">
        <v>0</v>
      </c>
      <c r="H85" s="4">
        <v>0.83199999999999996</v>
      </c>
      <c r="I85" s="4">
        <v>0.78071004222845619</v>
      </c>
      <c r="J85" s="4">
        <v>0.87324144690656846</v>
      </c>
    </row>
    <row r="86" spans="1:10" ht="15" customHeight="1" x14ac:dyDescent="0.25">
      <c r="A86" s="3" t="s">
        <v>9</v>
      </c>
      <c r="B86" s="3" t="s">
        <v>7</v>
      </c>
      <c r="C86" s="5">
        <v>119</v>
      </c>
      <c r="D86" s="5">
        <v>250</v>
      </c>
      <c r="E86" s="5">
        <v>250</v>
      </c>
      <c r="F86" s="5">
        <v>0</v>
      </c>
      <c r="G86" s="5">
        <v>0</v>
      </c>
      <c r="H86" s="4">
        <v>0.47599999999999998</v>
      </c>
      <c r="I86" s="4">
        <v>0.41492428638011181</v>
      </c>
      <c r="J86" s="4">
        <v>0.53780211199566941</v>
      </c>
    </row>
    <row r="87" spans="1:10" ht="15" customHeight="1" x14ac:dyDescent="0.25">
      <c r="A87" s="3" t="s">
        <v>9</v>
      </c>
      <c r="B87" s="3" t="s">
        <v>8</v>
      </c>
      <c r="C87" s="5">
        <v>182</v>
      </c>
      <c r="D87" s="5">
        <v>250</v>
      </c>
      <c r="E87" s="5">
        <v>247</v>
      </c>
      <c r="F87" s="5">
        <v>3</v>
      </c>
      <c r="G87" s="5">
        <v>0</v>
      </c>
      <c r="H87" s="4">
        <v>0.72799999999999998</v>
      </c>
      <c r="I87" s="4">
        <v>0.66969944235694623</v>
      </c>
      <c r="J87" s="4">
        <v>0.77939977307313102</v>
      </c>
    </row>
    <row r="88" spans="1:10" ht="15" customHeight="1" x14ac:dyDescent="0.25">
      <c r="A88" s="3" t="s">
        <v>9</v>
      </c>
      <c r="B88" s="3" t="s">
        <v>9</v>
      </c>
      <c r="C88" s="5">
        <v>125</v>
      </c>
      <c r="D88" s="5">
        <v>250</v>
      </c>
      <c r="E88" s="5">
        <v>250</v>
      </c>
      <c r="F88" s="5">
        <v>0</v>
      </c>
      <c r="G88" s="5">
        <v>0</v>
      </c>
      <c r="H88" s="4">
        <v>0.5</v>
      </c>
      <c r="I88" s="4">
        <v>0.43849126180890108</v>
      </c>
      <c r="J88" s="4">
        <v>0.56150873819109881</v>
      </c>
    </row>
  </sheetData>
  <pageMargins left="0.25" right="0.25" top="0.5" bottom="0.5" header="0.2" footer="0.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8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70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174</v>
      </c>
    </row>
    <row r="4" spans="1:5" ht="42" customHeight="1" x14ac:dyDescent="0.25">
      <c r="A4" s="2" t="s">
        <v>175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176</v>
      </c>
      <c r="C8" s="7" t="s">
        <v>177</v>
      </c>
      <c r="D8" s="7" t="s">
        <v>178</v>
      </c>
      <c r="E8" s="7" t="s">
        <v>179</v>
      </c>
    </row>
    <row r="9" spans="1:5" ht="30" customHeight="1" x14ac:dyDescent="0.25">
      <c r="A9" s="3" t="s">
        <v>7</v>
      </c>
      <c r="B9" s="7" t="s">
        <v>180</v>
      </c>
      <c r="C9" s="7" t="s">
        <v>181</v>
      </c>
      <c r="D9" s="7" t="s">
        <v>182</v>
      </c>
      <c r="E9" s="7" t="s">
        <v>183</v>
      </c>
    </row>
    <row r="10" spans="1:5" ht="30" customHeight="1" x14ac:dyDescent="0.25">
      <c r="A10" s="3" t="s">
        <v>8</v>
      </c>
      <c r="B10" s="7" t="s">
        <v>184</v>
      </c>
      <c r="C10" s="7" t="s">
        <v>185</v>
      </c>
      <c r="D10" s="7" t="s">
        <v>186</v>
      </c>
      <c r="E10" s="7" t="s">
        <v>187</v>
      </c>
    </row>
    <row r="11" spans="1:5" ht="30" customHeight="1" x14ac:dyDescent="0.25">
      <c r="A11" s="3" t="s">
        <v>9</v>
      </c>
      <c r="B11" s="7" t="s">
        <v>188</v>
      </c>
      <c r="C11" s="7" t="s">
        <v>189</v>
      </c>
      <c r="D11" s="7" t="s">
        <v>190</v>
      </c>
      <c r="E11" s="7" t="s">
        <v>191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279</v>
      </c>
      <c r="C16" s="5">
        <v>129</v>
      </c>
      <c r="D16" s="5">
        <v>143</v>
      </c>
      <c r="E16" s="5">
        <v>107</v>
      </c>
    </row>
    <row r="17" spans="1:5" ht="15" customHeight="1" x14ac:dyDescent="0.25">
      <c r="A17" s="3" t="s">
        <v>7</v>
      </c>
      <c r="B17" s="5">
        <v>424</v>
      </c>
      <c r="C17" s="5">
        <v>247</v>
      </c>
      <c r="D17" s="5">
        <v>353</v>
      </c>
      <c r="E17" s="5">
        <v>239</v>
      </c>
    </row>
    <row r="18" spans="1:5" ht="15" customHeight="1" x14ac:dyDescent="0.25">
      <c r="A18" s="3" t="s">
        <v>8</v>
      </c>
      <c r="B18" s="5">
        <v>382</v>
      </c>
      <c r="C18" s="5">
        <v>131</v>
      </c>
      <c r="D18" s="5">
        <v>176</v>
      </c>
      <c r="E18" s="5">
        <v>172</v>
      </c>
    </row>
    <row r="19" spans="1:5" ht="15" customHeight="1" x14ac:dyDescent="0.25">
      <c r="A19" s="3" t="s">
        <v>9</v>
      </c>
      <c r="B19" s="5">
        <v>452</v>
      </c>
      <c r="C19" s="5">
        <v>243</v>
      </c>
      <c r="D19" s="5">
        <v>361</v>
      </c>
      <c r="E19" s="5">
        <v>253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500</v>
      </c>
      <c r="C23" s="5">
        <v>500</v>
      </c>
      <c r="D23" s="5">
        <v>500</v>
      </c>
      <c r="E23" s="5">
        <v>500</v>
      </c>
    </row>
    <row r="24" spans="1:5" ht="15" customHeight="1" x14ac:dyDescent="0.25">
      <c r="A24" s="3" t="s">
        <v>7</v>
      </c>
      <c r="B24" s="5">
        <v>500</v>
      </c>
      <c r="C24" s="5">
        <v>500</v>
      </c>
      <c r="D24" s="5">
        <v>500</v>
      </c>
      <c r="E24" s="5">
        <v>500</v>
      </c>
    </row>
    <row r="25" spans="1:5" ht="15" customHeight="1" x14ac:dyDescent="0.25">
      <c r="A25" s="3" t="s">
        <v>8</v>
      </c>
      <c r="B25" s="5">
        <v>500</v>
      </c>
      <c r="C25" s="5">
        <v>500</v>
      </c>
      <c r="D25" s="5">
        <v>500</v>
      </c>
      <c r="E25" s="5">
        <v>500</v>
      </c>
    </row>
    <row r="26" spans="1:5" ht="15" customHeight="1" x14ac:dyDescent="0.25">
      <c r="A26" s="3" t="s">
        <v>9</v>
      </c>
      <c r="B26" s="5">
        <v>500</v>
      </c>
      <c r="C26" s="5">
        <v>500</v>
      </c>
      <c r="D26" s="5">
        <v>500</v>
      </c>
      <c r="E26" s="5">
        <v>500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500</v>
      </c>
      <c r="C30" s="5">
        <v>500</v>
      </c>
      <c r="D30" s="5">
        <v>500</v>
      </c>
      <c r="E30" s="5">
        <v>500</v>
      </c>
    </row>
    <row r="31" spans="1:5" ht="15" customHeight="1" x14ac:dyDescent="0.25">
      <c r="A31" s="3" t="s">
        <v>7</v>
      </c>
      <c r="B31" s="5">
        <v>500</v>
      </c>
      <c r="C31" s="5">
        <v>500</v>
      </c>
      <c r="D31" s="5">
        <v>500</v>
      </c>
      <c r="E31" s="5">
        <v>500</v>
      </c>
    </row>
    <row r="32" spans="1:5" ht="15" customHeight="1" x14ac:dyDescent="0.25">
      <c r="A32" s="3" t="s">
        <v>8</v>
      </c>
      <c r="B32" s="5">
        <v>498</v>
      </c>
      <c r="C32" s="5">
        <v>498</v>
      </c>
      <c r="D32" s="5">
        <v>500</v>
      </c>
      <c r="E32" s="5">
        <v>498</v>
      </c>
    </row>
    <row r="33" spans="1:5" ht="15" customHeight="1" x14ac:dyDescent="0.25">
      <c r="A33" s="3" t="s">
        <v>9</v>
      </c>
      <c r="B33" s="5">
        <v>500</v>
      </c>
      <c r="C33" s="5">
        <v>499</v>
      </c>
      <c r="D33" s="5">
        <v>500</v>
      </c>
      <c r="E33" s="5">
        <v>500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0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2</v>
      </c>
      <c r="C39" s="5">
        <v>2</v>
      </c>
      <c r="D39" s="5">
        <v>0</v>
      </c>
      <c r="E39" s="5">
        <v>2</v>
      </c>
    </row>
    <row r="40" spans="1:5" ht="15" customHeight="1" x14ac:dyDescent="0.25">
      <c r="A40" s="3" t="s">
        <v>9</v>
      </c>
      <c r="B40" s="5">
        <v>0</v>
      </c>
      <c r="C40" s="5">
        <v>1</v>
      </c>
      <c r="D40" s="5">
        <v>0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0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0</v>
      </c>
      <c r="D47" s="5">
        <v>0</v>
      </c>
      <c r="E47" s="5">
        <v>0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0.55800000000000005</v>
      </c>
      <c r="C51" s="4">
        <v>0.25800000000000001</v>
      </c>
      <c r="D51" s="4">
        <v>0.28599999999999998</v>
      </c>
      <c r="E51" s="4">
        <v>0.214</v>
      </c>
    </row>
    <row r="52" spans="1:5" ht="15" customHeight="1" x14ac:dyDescent="0.25">
      <c r="A52" s="3" t="s">
        <v>7</v>
      </c>
      <c r="B52" s="4">
        <v>0.84799999999999998</v>
      </c>
      <c r="C52" s="4">
        <v>0.49399999999999999</v>
      </c>
      <c r="D52" s="4">
        <v>0.70599999999999996</v>
      </c>
      <c r="E52" s="4">
        <v>0.47799999999999998</v>
      </c>
    </row>
    <row r="53" spans="1:5" ht="15" customHeight="1" x14ac:dyDescent="0.25">
      <c r="A53" s="3" t="s">
        <v>8</v>
      </c>
      <c r="B53" s="4">
        <v>0.76400000000000001</v>
      </c>
      <c r="C53" s="4">
        <v>0.26200000000000001</v>
      </c>
      <c r="D53" s="4">
        <v>0.35199999999999998</v>
      </c>
      <c r="E53" s="4">
        <v>0.34399999999999997</v>
      </c>
    </row>
    <row r="54" spans="1:5" ht="15" customHeight="1" x14ac:dyDescent="0.25">
      <c r="A54" s="3" t="s">
        <v>9</v>
      </c>
      <c r="B54" s="4">
        <v>0.90400000000000003</v>
      </c>
      <c r="C54" s="4">
        <v>0.48599999999999999</v>
      </c>
      <c r="D54" s="4">
        <v>0.72199999999999998</v>
      </c>
      <c r="E54" s="4">
        <v>0.50600000000000001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0.51419152964928327</v>
      </c>
      <c r="C58" s="4">
        <v>0.22159620022281309</v>
      </c>
      <c r="D58" s="4">
        <v>0.24814005321609289</v>
      </c>
      <c r="E58" s="4">
        <v>0.1803029999875953</v>
      </c>
    </row>
    <row r="59" spans="1:5" ht="15" customHeight="1" x14ac:dyDescent="0.25">
      <c r="A59" s="3" t="s">
        <v>7</v>
      </c>
      <c r="B59" s="4">
        <v>0.81388585171256134</v>
      </c>
      <c r="C59" s="4">
        <v>0.45039013091903207</v>
      </c>
      <c r="D59" s="4">
        <v>0.66461725916559722</v>
      </c>
      <c r="E59" s="4">
        <v>0.43455096039387592</v>
      </c>
    </row>
    <row r="60" spans="1:5" ht="15" customHeight="1" x14ac:dyDescent="0.25">
      <c r="A60" s="3" t="s">
        <v>8</v>
      </c>
      <c r="B60" s="4">
        <v>0.72485564370785927</v>
      </c>
      <c r="C60" s="4">
        <v>0.22537626941723771</v>
      </c>
      <c r="D60" s="4">
        <v>0.31141084189074281</v>
      </c>
      <c r="E60" s="4">
        <v>0.30369296556173792</v>
      </c>
    </row>
    <row r="61" spans="1:5" ht="15" customHeight="1" x14ac:dyDescent="0.25">
      <c r="A61" s="3" t="s">
        <v>9</v>
      </c>
      <c r="B61" s="4">
        <v>0.87501303757248494</v>
      </c>
      <c r="C61" s="4">
        <v>0.44246499311299559</v>
      </c>
      <c r="D61" s="4">
        <v>0.68115140036369592</v>
      </c>
      <c r="E61" s="4">
        <v>0.46229863883349348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0.60092404685717671</v>
      </c>
      <c r="C65" s="4">
        <v>0.29809398056057818</v>
      </c>
      <c r="D65" s="4">
        <v>0.32712316450145151</v>
      </c>
      <c r="E65" s="4">
        <v>0.25205812275641259</v>
      </c>
    </row>
    <row r="66" spans="1:10" ht="15" customHeight="1" x14ac:dyDescent="0.25">
      <c r="A66" s="3" t="s">
        <v>7</v>
      </c>
      <c r="B66" s="4">
        <v>0.87680760732619833</v>
      </c>
      <c r="C66" s="4">
        <v>0.53770136116650658</v>
      </c>
      <c r="D66" s="4">
        <v>0.7442415125642432</v>
      </c>
      <c r="E66" s="4">
        <v>0.52178451058643249</v>
      </c>
    </row>
    <row r="67" spans="1:10" ht="15" customHeight="1" x14ac:dyDescent="0.25">
      <c r="A67" s="3" t="s">
        <v>8</v>
      </c>
      <c r="B67" s="4">
        <v>0.79911870452844114</v>
      </c>
      <c r="C67" s="4">
        <v>0.30225291664246129</v>
      </c>
      <c r="D67" s="4">
        <v>0.39484596288587681</v>
      </c>
      <c r="E67" s="4">
        <v>0.38668582866226642</v>
      </c>
    </row>
    <row r="68" spans="1:10" ht="15" customHeight="1" x14ac:dyDescent="0.25">
      <c r="A68" s="3" t="s">
        <v>9</v>
      </c>
      <c r="B68" s="4">
        <v>0.92682649533458106</v>
      </c>
      <c r="C68" s="4">
        <v>0.52974848841992794</v>
      </c>
      <c r="D68" s="4">
        <v>0.75946339247137484</v>
      </c>
      <c r="E68" s="4">
        <v>0.54960986908096787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279</v>
      </c>
      <c r="D73" s="5">
        <v>500</v>
      </c>
      <c r="E73" s="5">
        <v>500</v>
      </c>
      <c r="F73" s="5">
        <v>0</v>
      </c>
      <c r="G73" s="5">
        <v>0</v>
      </c>
      <c r="H73" s="4">
        <v>0.55800000000000005</v>
      </c>
      <c r="I73" s="4">
        <v>0.51419152964928327</v>
      </c>
      <c r="J73" s="4">
        <v>0.60092404685717671</v>
      </c>
    </row>
    <row r="74" spans="1:10" ht="15" customHeight="1" x14ac:dyDescent="0.25">
      <c r="A74" s="3" t="s">
        <v>6</v>
      </c>
      <c r="B74" s="3" t="s">
        <v>7</v>
      </c>
      <c r="C74" s="5">
        <v>129</v>
      </c>
      <c r="D74" s="5">
        <v>500</v>
      </c>
      <c r="E74" s="5">
        <v>500</v>
      </c>
      <c r="F74" s="5">
        <v>0</v>
      </c>
      <c r="G74" s="5">
        <v>0</v>
      </c>
      <c r="H74" s="4">
        <v>0.25800000000000001</v>
      </c>
      <c r="I74" s="4">
        <v>0.22159620022281309</v>
      </c>
      <c r="J74" s="4">
        <v>0.29809398056057818</v>
      </c>
    </row>
    <row r="75" spans="1:10" ht="15" customHeight="1" x14ac:dyDescent="0.25">
      <c r="A75" s="3" t="s">
        <v>6</v>
      </c>
      <c r="B75" s="3" t="s">
        <v>8</v>
      </c>
      <c r="C75" s="5">
        <v>143</v>
      </c>
      <c r="D75" s="5">
        <v>500</v>
      </c>
      <c r="E75" s="5">
        <v>500</v>
      </c>
      <c r="F75" s="5">
        <v>0</v>
      </c>
      <c r="G75" s="5">
        <v>0</v>
      </c>
      <c r="H75" s="4">
        <v>0.28599999999999998</v>
      </c>
      <c r="I75" s="4">
        <v>0.24814005321609289</v>
      </c>
      <c r="J75" s="4">
        <v>0.32712316450145151</v>
      </c>
    </row>
    <row r="76" spans="1:10" ht="15" customHeight="1" x14ac:dyDescent="0.25">
      <c r="A76" s="3" t="s">
        <v>6</v>
      </c>
      <c r="B76" s="3" t="s">
        <v>9</v>
      </c>
      <c r="C76" s="5">
        <v>107</v>
      </c>
      <c r="D76" s="5">
        <v>500</v>
      </c>
      <c r="E76" s="5">
        <v>500</v>
      </c>
      <c r="F76" s="5">
        <v>0</v>
      </c>
      <c r="G76" s="5">
        <v>0</v>
      </c>
      <c r="H76" s="4">
        <v>0.214</v>
      </c>
      <c r="I76" s="4">
        <v>0.1803029999875953</v>
      </c>
      <c r="J76" s="4">
        <v>0.25205812275641259</v>
      </c>
    </row>
    <row r="77" spans="1:10" ht="15" customHeight="1" x14ac:dyDescent="0.25">
      <c r="A77" s="3" t="s">
        <v>7</v>
      </c>
      <c r="B77" s="3" t="s">
        <v>6</v>
      </c>
      <c r="C77" s="5">
        <v>424</v>
      </c>
      <c r="D77" s="5">
        <v>500</v>
      </c>
      <c r="E77" s="5">
        <v>500</v>
      </c>
      <c r="F77" s="5">
        <v>0</v>
      </c>
      <c r="G77" s="5">
        <v>0</v>
      </c>
      <c r="H77" s="4">
        <v>0.84799999999999998</v>
      </c>
      <c r="I77" s="4">
        <v>0.81388585171256134</v>
      </c>
      <c r="J77" s="4">
        <v>0.87680760732619833</v>
      </c>
    </row>
    <row r="78" spans="1:10" ht="15" customHeight="1" x14ac:dyDescent="0.25">
      <c r="A78" s="3" t="s">
        <v>7</v>
      </c>
      <c r="B78" s="3" t="s">
        <v>7</v>
      </c>
      <c r="C78" s="5">
        <v>247</v>
      </c>
      <c r="D78" s="5">
        <v>500</v>
      </c>
      <c r="E78" s="5">
        <v>500</v>
      </c>
      <c r="F78" s="5">
        <v>0</v>
      </c>
      <c r="G78" s="5">
        <v>0</v>
      </c>
      <c r="H78" s="4">
        <v>0.49399999999999999</v>
      </c>
      <c r="I78" s="4">
        <v>0.45039013091903207</v>
      </c>
      <c r="J78" s="4">
        <v>0.53770136116650658</v>
      </c>
    </row>
    <row r="79" spans="1:10" ht="15" customHeight="1" x14ac:dyDescent="0.25">
      <c r="A79" s="3" t="s">
        <v>7</v>
      </c>
      <c r="B79" s="3" t="s">
        <v>8</v>
      </c>
      <c r="C79" s="5">
        <v>353</v>
      </c>
      <c r="D79" s="5">
        <v>500</v>
      </c>
      <c r="E79" s="5">
        <v>500</v>
      </c>
      <c r="F79" s="5">
        <v>0</v>
      </c>
      <c r="G79" s="5">
        <v>0</v>
      </c>
      <c r="H79" s="4">
        <v>0.70599999999999996</v>
      </c>
      <c r="I79" s="4">
        <v>0.66461725916559722</v>
      </c>
      <c r="J79" s="4">
        <v>0.7442415125642432</v>
      </c>
    </row>
    <row r="80" spans="1:10" ht="15" customHeight="1" x14ac:dyDescent="0.25">
      <c r="A80" s="3" t="s">
        <v>7</v>
      </c>
      <c r="B80" s="3" t="s">
        <v>9</v>
      </c>
      <c r="C80" s="5">
        <v>239</v>
      </c>
      <c r="D80" s="5">
        <v>500</v>
      </c>
      <c r="E80" s="5">
        <v>500</v>
      </c>
      <c r="F80" s="5">
        <v>0</v>
      </c>
      <c r="G80" s="5">
        <v>0</v>
      </c>
      <c r="H80" s="4">
        <v>0.47799999999999998</v>
      </c>
      <c r="I80" s="4">
        <v>0.43455096039387592</v>
      </c>
      <c r="J80" s="4">
        <v>0.52178451058643249</v>
      </c>
    </row>
    <row r="81" spans="1:10" ht="15" customHeight="1" x14ac:dyDescent="0.25">
      <c r="A81" s="3" t="s">
        <v>8</v>
      </c>
      <c r="B81" s="3" t="s">
        <v>6</v>
      </c>
      <c r="C81" s="5">
        <v>382</v>
      </c>
      <c r="D81" s="5">
        <v>500</v>
      </c>
      <c r="E81" s="5">
        <v>498</v>
      </c>
      <c r="F81" s="5">
        <v>2</v>
      </c>
      <c r="G81" s="5">
        <v>0</v>
      </c>
      <c r="H81" s="4">
        <v>0.76400000000000001</v>
      </c>
      <c r="I81" s="4">
        <v>0.72485564370785927</v>
      </c>
      <c r="J81" s="4">
        <v>0.79911870452844114</v>
      </c>
    </row>
    <row r="82" spans="1:10" ht="15" customHeight="1" x14ac:dyDescent="0.25">
      <c r="A82" s="3" t="s">
        <v>8</v>
      </c>
      <c r="B82" s="3" t="s">
        <v>7</v>
      </c>
      <c r="C82" s="5">
        <v>131</v>
      </c>
      <c r="D82" s="5">
        <v>500</v>
      </c>
      <c r="E82" s="5">
        <v>498</v>
      </c>
      <c r="F82" s="5">
        <v>2</v>
      </c>
      <c r="G82" s="5">
        <v>0</v>
      </c>
      <c r="H82" s="4">
        <v>0.26200000000000001</v>
      </c>
      <c r="I82" s="4">
        <v>0.22537626941723771</v>
      </c>
      <c r="J82" s="4">
        <v>0.30225291664246129</v>
      </c>
    </row>
    <row r="83" spans="1:10" ht="15" customHeight="1" x14ac:dyDescent="0.25">
      <c r="A83" s="3" t="s">
        <v>8</v>
      </c>
      <c r="B83" s="3" t="s">
        <v>8</v>
      </c>
      <c r="C83" s="5">
        <v>176</v>
      </c>
      <c r="D83" s="5">
        <v>500</v>
      </c>
      <c r="E83" s="5">
        <v>500</v>
      </c>
      <c r="F83" s="5">
        <v>0</v>
      </c>
      <c r="G83" s="5">
        <v>0</v>
      </c>
      <c r="H83" s="4">
        <v>0.35199999999999998</v>
      </c>
      <c r="I83" s="4">
        <v>0.31141084189074281</v>
      </c>
      <c r="J83" s="4">
        <v>0.39484596288587681</v>
      </c>
    </row>
    <row r="84" spans="1:10" ht="15" customHeight="1" x14ac:dyDescent="0.25">
      <c r="A84" s="3" t="s">
        <v>8</v>
      </c>
      <c r="B84" s="3" t="s">
        <v>9</v>
      </c>
      <c r="C84" s="5">
        <v>172</v>
      </c>
      <c r="D84" s="5">
        <v>500</v>
      </c>
      <c r="E84" s="5">
        <v>498</v>
      </c>
      <c r="F84" s="5">
        <v>2</v>
      </c>
      <c r="G84" s="5">
        <v>0</v>
      </c>
      <c r="H84" s="4">
        <v>0.34399999999999997</v>
      </c>
      <c r="I84" s="4">
        <v>0.30369296556173792</v>
      </c>
      <c r="J84" s="4">
        <v>0.38668582866226642</v>
      </c>
    </row>
    <row r="85" spans="1:10" ht="15" customHeight="1" x14ac:dyDescent="0.25">
      <c r="A85" s="3" t="s">
        <v>9</v>
      </c>
      <c r="B85" s="3" t="s">
        <v>6</v>
      </c>
      <c r="C85" s="5">
        <v>452</v>
      </c>
      <c r="D85" s="5">
        <v>500</v>
      </c>
      <c r="E85" s="5">
        <v>500</v>
      </c>
      <c r="F85" s="5">
        <v>0</v>
      </c>
      <c r="G85" s="5">
        <v>0</v>
      </c>
      <c r="H85" s="4">
        <v>0.90400000000000003</v>
      </c>
      <c r="I85" s="4">
        <v>0.87501303757248494</v>
      </c>
      <c r="J85" s="4">
        <v>0.92682649533458106</v>
      </c>
    </row>
    <row r="86" spans="1:10" ht="15" customHeight="1" x14ac:dyDescent="0.25">
      <c r="A86" s="3" t="s">
        <v>9</v>
      </c>
      <c r="B86" s="3" t="s">
        <v>7</v>
      </c>
      <c r="C86" s="5">
        <v>243</v>
      </c>
      <c r="D86" s="5">
        <v>500</v>
      </c>
      <c r="E86" s="5">
        <v>499</v>
      </c>
      <c r="F86" s="5">
        <v>1</v>
      </c>
      <c r="G86" s="5">
        <v>0</v>
      </c>
      <c r="H86" s="4">
        <v>0.48599999999999999</v>
      </c>
      <c r="I86" s="4">
        <v>0.44246499311299559</v>
      </c>
      <c r="J86" s="4">
        <v>0.52974848841992794</v>
      </c>
    </row>
    <row r="87" spans="1:10" ht="15" customHeight="1" x14ac:dyDescent="0.25">
      <c r="A87" s="3" t="s">
        <v>9</v>
      </c>
      <c r="B87" s="3" t="s">
        <v>8</v>
      </c>
      <c r="C87" s="5">
        <v>361</v>
      </c>
      <c r="D87" s="5">
        <v>500</v>
      </c>
      <c r="E87" s="5">
        <v>500</v>
      </c>
      <c r="F87" s="5">
        <v>0</v>
      </c>
      <c r="G87" s="5">
        <v>0</v>
      </c>
      <c r="H87" s="4">
        <v>0.72199999999999998</v>
      </c>
      <c r="I87" s="4">
        <v>0.68115140036369592</v>
      </c>
      <c r="J87" s="4">
        <v>0.75946339247137484</v>
      </c>
    </row>
    <row r="88" spans="1:10" ht="15" customHeight="1" x14ac:dyDescent="0.25">
      <c r="A88" s="3" t="s">
        <v>9</v>
      </c>
      <c r="B88" s="3" t="s">
        <v>9</v>
      </c>
      <c r="C88" s="5">
        <v>253</v>
      </c>
      <c r="D88" s="5">
        <v>500</v>
      </c>
      <c r="E88" s="5">
        <v>500</v>
      </c>
      <c r="F88" s="5">
        <v>0</v>
      </c>
      <c r="G88" s="5">
        <v>0</v>
      </c>
      <c r="H88" s="4">
        <v>0.50600000000000001</v>
      </c>
      <c r="I88" s="4">
        <v>0.46229863883349348</v>
      </c>
      <c r="J88" s="4">
        <v>0.54960986908096787</v>
      </c>
    </row>
  </sheetData>
  <pageMargins left="0.25" right="0.25" top="0.5" bottom="0.5" header="0.2" footer="0.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5" width="23" customWidth="1"/>
    <col min="6" max="10" width="16" customWidth="1"/>
  </cols>
  <sheetData>
    <row r="1" spans="1:5" ht="24" customHeight="1" x14ac:dyDescent="0.3">
      <c r="A1" s="1" t="s">
        <v>73</v>
      </c>
    </row>
    <row r="2" spans="1:5" ht="30" customHeight="1" x14ac:dyDescent="0.25">
      <c r="A2" s="2" t="s">
        <v>1</v>
      </c>
    </row>
    <row r="3" spans="1:5" ht="60" customHeight="1" x14ac:dyDescent="0.25">
      <c r="A3" s="2" t="s">
        <v>192</v>
      </c>
    </row>
    <row r="4" spans="1:5" ht="42" customHeight="1" x14ac:dyDescent="0.25">
      <c r="A4" s="2" t="s">
        <v>175</v>
      </c>
    </row>
    <row r="6" spans="1:5" ht="15" customHeight="1" x14ac:dyDescent="0.25">
      <c r="A6" s="6" t="s">
        <v>4</v>
      </c>
    </row>
    <row r="7" spans="1:5" ht="30" customHeigh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</row>
    <row r="8" spans="1:5" ht="30" customHeight="1" x14ac:dyDescent="0.25">
      <c r="A8" s="3" t="s">
        <v>6</v>
      </c>
      <c r="B8" s="7" t="s">
        <v>193</v>
      </c>
      <c r="C8" s="7" t="s">
        <v>194</v>
      </c>
      <c r="D8" s="7" t="s">
        <v>195</v>
      </c>
      <c r="E8" s="7" t="s">
        <v>196</v>
      </c>
    </row>
    <row r="9" spans="1:5" ht="30" customHeight="1" x14ac:dyDescent="0.25">
      <c r="A9" s="3" t="s">
        <v>7</v>
      </c>
      <c r="B9" s="7" t="s">
        <v>197</v>
      </c>
      <c r="C9" s="7" t="s">
        <v>189</v>
      </c>
      <c r="D9" s="7" t="s">
        <v>198</v>
      </c>
      <c r="E9" s="7" t="s">
        <v>199</v>
      </c>
    </row>
    <row r="10" spans="1:5" ht="30" customHeight="1" x14ac:dyDescent="0.25">
      <c r="A10" s="3" t="s">
        <v>8</v>
      </c>
      <c r="B10" s="7" t="s">
        <v>200</v>
      </c>
      <c r="C10" s="7" t="s">
        <v>201</v>
      </c>
      <c r="D10" s="7" t="s">
        <v>202</v>
      </c>
      <c r="E10" s="7" t="s">
        <v>203</v>
      </c>
    </row>
    <row r="11" spans="1:5" ht="30" customHeight="1" x14ac:dyDescent="0.25">
      <c r="A11" s="3" t="s">
        <v>9</v>
      </c>
      <c r="B11" s="7" t="s">
        <v>204</v>
      </c>
      <c r="C11" s="7" t="s">
        <v>205</v>
      </c>
      <c r="D11" s="7" t="s">
        <v>206</v>
      </c>
      <c r="E11" s="7" t="s">
        <v>207</v>
      </c>
    </row>
    <row r="14" spans="1:5" ht="15" customHeight="1" x14ac:dyDescent="0.25">
      <c r="A14" s="6" t="s">
        <v>26</v>
      </c>
    </row>
    <row r="15" spans="1:5" ht="15" customHeight="1" x14ac:dyDescent="0.25">
      <c r="A15" s="3" t="s">
        <v>5</v>
      </c>
      <c r="B15" s="3" t="s">
        <v>6</v>
      </c>
      <c r="C15" s="3" t="s">
        <v>7</v>
      </c>
      <c r="D15" s="3" t="s">
        <v>8</v>
      </c>
      <c r="E15" s="3" t="s">
        <v>9</v>
      </c>
    </row>
    <row r="16" spans="1:5" ht="15" customHeight="1" x14ac:dyDescent="0.25">
      <c r="A16" s="3" t="s">
        <v>6</v>
      </c>
      <c r="B16" s="5">
        <v>263</v>
      </c>
      <c r="C16" s="5">
        <v>101</v>
      </c>
      <c r="D16" s="5">
        <v>124</v>
      </c>
      <c r="E16" s="5">
        <v>112</v>
      </c>
    </row>
    <row r="17" spans="1:5" ht="15" customHeight="1" x14ac:dyDescent="0.25">
      <c r="A17" s="3" t="s">
        <v>7</v>
      </c>
      <c r="B17" s="5">
        <v>420</v>
      </c>
      <c r="C17" s="5">
        <v>243</v>
      </c>
      <c r="D17" s="5">
        <v>349</v>
      </c>
      <c r="E17" s="5">
        <v>228</v>
      </c>
    </row>
    <row r="18" spans="1:5" ht="15" customHeight="1" x14ac:dyDescent="0.25">
      <c r="A18" s="3" t="s">
        <v>8</v>
      </c>
      <c r="B18" s="5">
        <v>404</v>
      </c>
      <c r="C18" s="5">
        <v>132</v>
      </c>
      <c r="D18" s="5">
        <v>194</v>
      </c>
      <c r="E18" s="5">
        <v>201</v>
      </c>
    </row>
    <row r="19" spans="1:5" ht="15" customHeight="1" x14ac:dyDescent="0.25">
      <c r="A19" s="3" t="s">
        <v>9</v>
      </c>
      <c r="B19" s="5">
        <v>444</v>
      </c>
      <c r="C19" s="5">
        <v>216</v>
      </c>
      <c r="D19" s="5">
        <v>369</v>
      </c>
      <c r="E19" s="5">
        <v>251</v>
      </c>
    </row>
    <row r="21" spans="1:5" ht="15" customHeight="1" x14ac:dyDescent="0.25">
      <c r="A21" s="6" t="s">
        <v>27</v>
      </c>
    </row>
    <row r="22" spans="1:5" ht="15" customHeight="1" x14ac:dyDescent="0.25">
      <c r="A22" s="3" t="s">
        <v>5</v>
      </c>
      <c r="B22" s="3" t="s">
        <v>6</v>
      </c>
      <c r="C22" s="3" t="s">
        <v>7</v>
      </c>
      <c r="D22" s="3" t="s">
        <v>8</v>
      </c>
      <c r="E22" s="3" t="s">
        <v>9</v>
      </c>
    </row>
    <row r="23" spans="1:5" ht="15" customHeight="1" x14ac:dyDescent="0.25">
      <c r="A23" s="3" t="s">
        <v>6</v>
      </c>
      <c r="B23" s="5">
        <v>500</v>
      </c>
      <c r="C23" s="5">
        <v>500</v>
      </c>
      <c r="D23" s="5">
        <v>500</v>
      </c>
      <c r="E23" s="5">
        <v>500</v>
      </c>
    </row>
    <row r="24" spans="1:5" ht="15" customHeight="1" x14ac:dyDescent="0.25">
      <c r="A24" s="3" t="s">
        <v>7</v>
      </c>
      <c r="B24" s="5">
        <v>500</v>
      </c>
      <c r="C24" s="5">
        <v>500</v>
      </c>
      <c r="D24" s="5">
        <v>500</v>
      </c>
      <c r="E24" s="5">
        <v>500</v>
      </c>
    </row>
    <row r="25" spans="1:5" ht="15" customHeight="1" x14ac:dyDescent="0.25">
      <c r="A25" s="3" t="s">
        <v>8</v>
      </c>
      <c r="B25" s="5">
        <v>500</v>
      </c>
      <c r="C25" s="5">
        <v>500</v>
      </c>
      <c r="D25" s="5">
        <v>500</v>
      </c>
      <c r="E25" s="5">
        <v>500</v>
      </c>
    </row>
    <row r="26" spans="1:5" ht="15" customHeight="1" x14ac:dyDescent="0.25">
      <c r="A26" s="3" t="s">
        <v>9</v>
      </c>
      <c r="B26" s="5">
        <v>500</v>
      </c>
      <c r="C26" s="5">
        <v>500</v>
      </c>
      <c r="D26" s="5">
        <v>500</v>
      </c>
      <c r="E26" s="5">
        <v>500</v>
      </c>
    </row>
    <row r="28" spans="1:5" ht="15" customHeight="1" x14ac:dyDescent="0.25">
      <c r="A28" s="6" t="s">
        <v>28</v>
      </c>
    </row>
    <row r="29" spans="1:5" ht="15" customHeight="1" x14ac:dyDescent="0.25">
      <c r="A29" s="3" t="s">
        <v>5</v>
      </c>
      <c r="B29" s="3" t="s">
        <v>6</v>
      </c>
      <c r="C29" s="3" t="s">
        <v>7</v>
      </c>
      <c r="D29" s="3" t="s">
        <v>8</v>
      </c>
      <c r="E29" s="3" t="s">
        <v>9</v>
      </c>
    </row>
    <row r="30" spans="1:5" ht="15" customHeight="1" x14ac:dyDescent="0.25">
      <c r="A30" s="3" t="s">
        <v>6</v>
      </c>
      <c r="B30" s="5">
        <v>500</v>
      </c>
      <c r="C30" s="5">
        <v>500</v>
      </c>
      <c r="D30" s="5">
        <v>500</v>
      </c>
      <c r="E30" s="5">
        <v>500</v>
      </c>
    </row>
    <row r="31" spans="1:5" ht="15" customHeight="1" x14ac:dyDescent="0.25">
      <c r="A31" s="3" t="s">
        <v>7</v>
      </c>
      <c r="B31" s="5">
        <v>500</v>
      </c>
      <c r="C31" s="5">
        <v>500</v>
      </c>
      <c r="D31" s="5">
        <v>500</v>
      </c>
      <c r="E31" s="5">
        <v>500</v>
      </c>
    </row>
    <row r="32" spans="1:5" ht="15" customHeight="1" x14ac:dyDescent="0.25">
      <c r="A32" s="3" t="s">
        <v>8</v>
      </c>
      <c r="B32" s="5">
        <v>498</v>
      </c>
      <c r="C32" s="5">
        <v>497</v>
      </c>
      <c r="D32" s="5">
        <v>500</v>
      </c>
      <c r="E32" s="5">
        <v>498</v>
      </c>
    </row>
    <row r="33" spans="1:5" ht="15" customHeight="1" x14ac:dyDescent="0.25">
      <c r="A33" s="3" t="s">
        <v>9</v>
      </c>
      <c r="B33" s="5">
        <v>500</v>
      </c>
      <c r="C33" s="5">
        <v>498</v>
      </c>
      <c r="D33" s="5">
        <v>500</v>
      </c>
      <c r="E33" s="5">
        <v>500</v>
      </c>
    </row>
    <row r="35" spans="1:5" ht="15" customHeight="1" x14ac:dyDescent="0.25">
      <c r="A35" s="6" t="s">
        <v>29</v>
      </c>
    </row>
    <row r="36" spans="1:5" ht="15" customHeight="1" x14ac:dyDescent="0.25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</row>
    <row r="37" spans="1:5" ht="15" customHeight="1" x14ac:dyDescent="0.25">
      <c r="A37" s="3" t="s">
        <v>6</v>
      </c>
      <c r="B37" s="5">
        <v>0</v>
      </c>
      <c r="C37" s="5">
        <v>0</v>
      </c>
      <c r="D37" s="5">
        <v>0</v>
      </c>
      <c r="E37" s="5">
        <v>0</v>
      </c>
    </row>
    <row r="38" spans="1:5" ht="15" customHeight="1" x14ac:dyDescent="0.25">
      <c r="A38" s="3" t="s">
        <v>7</v>
      </c>
      <c r="B38" s="5">
        <v>0</v>
      </c>
      <c r="C38" s="5">
        <v>0</v>
      </c>
      <c r="D38" s="5">
        <v>0</v>
      </c>
      <c r="E38" s="5">
        <v>0</v>
      </c>
    </row>
    <row r="39" spans="1:5" ht="15" customHeight="1" x14ac:dyDescent="0.25">
      <c r="A39" s="3" t="s">
        <v>8</v>
      </c>
      <c r="B39" s="5">
        <v>2</v>
      </c>
      <c r="C39" s="5">
        <v>3</v>
      </c>
      <c r="D39" s="5">
        <v>0</v>
      </c>
      <c r="E39" s="5">
        <v>2</v>
      </c>
    </row>
    <row r="40" spans="1:5" ht="15" customHeight="1" x14ac:dyDescent="0.25">
      <c r="A40" s="3" t="s">
        <v>9</v>
      </c>
      <c r="B40" s="5">
        <v>0</v>
      </c>
      <c r="C40" s="5">
        <v>2</v>
      </c>
      <c r="D40" s="5">
        <v>0</v>
      </c>
      <c r="E40" s="5">
        <v>0</v>
      </c>
    </row>
    <row r="42" spans="1:5" ht="15" customHeight="1" x14ac:dyDescent="0.25">
      <c r="A42" s="6" t="s">
        <v>30</v>
      </c>
    </row>
    <row r="43" spans="1:5" ht="15" customHeight="1" x14ac:dyDescent="0.25">
      <c r="A43" s="3" t="s">
        <v>5</v>
      </c>
      <c r="B43" s="3" t="s">
        <v>6</v>
      </c>
      <c r="C43" s="3" t="s">
        <v>7</v>
      </c>
      <c r="D43" s="3" t="s">
        <v>8</v>
      </c>
      <c r="E43" s="3" t="s">
        <v>9</v>
      </c>
    </row>
    <row r="44" spans="1:5" ht="15" customHeight="1" x14ac:dyDescent="0.25">
      <c r="A44" s="3" t="s">
        <v>6</v>
      </c>
      <c r="B44" s="5">
        <v>0</v>
      </c>
      <c r="C44" s="5">
        <v>0</v>
      </c>
      <c r="D44" s="5">
        <v>0</v>
      </c>
      <c r="E44" s="5">
        <v>0</v>
      </c>
    </row>
    <row r="45" spans="1:5" ht="15" customHeight="1" x14ac:dyDescent="0.25">
      <c r="A45" s="3" t="s">
        <v>7</v>
      </c>
      <c r="B45" s="5">
        <v>0</v>
      </c>
      <c r="C45" s="5">
        <v>0</v>
      </c>
      <c r="D45" s="5">
        <v>0</v>
      </c>
      <c r="E45" s="5">
        <v>0</v>
      </c>
    </row>
    <row r="46" spans="1:5" ht="15" customHeight="1" x14ac:dyDescent="0.25">
      <c r="A46" s="3" t="s">
        <v>8</v>
      </c>
      <c r="B46" s="5">
        <v>0</v>
      </c>
      <c r="C46" s="5">
        <v>0</v>
      </c>
      <c r="D46" s="5">
        <v>0</v>
      </c>
      <c r="E46" s="5">
        <v>0</v>
      </c>
    </row>
    <row r="47" spans="1:5" ht="15" customHeight="1" x14ac:dyDescent="0.25">
      <c r="A47" s="3" t="s">
        <v>9</v>
      </c>
      <c r="B47" s="5">
        <v>0</v>
      </c>
      <c r="C47" s="5">
        <v>0</v>
      </c>
      <c r="D47" s="5">
        <v>0</v>
      </c>
      <c r="E47" s="5">
        <v>0</v>
      </c>
    </row>
    <row r="49" spans="1:5" ht="15" customHeight="1" x14ac:dyDescent="0.25">
      <c r="A49" s="6" t="s">
        <v>31</v>
      </c>
    </row>
    <row r="50" spans="1:5" ht="15" customHeight="1" x14ac:dyDescent="0.25">
      <c r="A50" s="3" t="s">
        <v>5</v>
      </c>
      <c r="B50" s="3" t="s">
        <v>6</v>
      </c>
      <c r="C50" s="3" t="s">
        <v>7</v>
      </c>
      <c r="D50" s="3" t="s">
        <v>8</v>
      </c>
      <c r="E50" s="3" t="s">
        <v>9</v>
      </c>
    </row>
    <row r="51" spans="1:5" ht="15" customHeight="1" x14ac:dyDescent="0.25">
      <c r="A51" s="3" t="s">
        <v>6</v>
      </c>
      <c r="B51" s="4">
        <v>0.52600000000000002</v>
      </c>
      <c r="C51" s="4">
        <v>0.20200000000000001</v>
      </c>
      <c r="D51" s="4">
        <v>0.248</v>
      </c>
      <c r="E51" s="4">
        <v>0.224</v>
      </c>
    </row>
    <row r="52" spans="1:5" ht="15" customHeight="1" x14ac:dyDescent="0.25">
      <c r="A52" s="3" t="s">
        <v>7</v>
      </c>
      <c r="B52" s="4">
        <v>0.84</v>
      </c>
      <c r="C52" s="4">
        <v>0.48599999999999999</v>
      </c>
      <c r="D52" s="4">
        <v>0.69799999999999995</v>
      </c>
      <c r="E52" s="4">
        <v>0.45600000000000002</v>
      </c>
    </row>
    <row r="53" spans="1:5" ht="15" customHeight="1" x14ac:dyDescent="0.25">
      <c r="A53" s="3" t="s">
        <v>8</v>
      </c>
      <c r="B53" s="4">
        <v>0.80800000000000005</v>
      </c>
      <c r="C53" s="4">
        <v>0.26400000000000001</v>
      </c>
      <c r="D53" s="4">
        <v>0.38800000000000001</v>
      </c>
      <c r="E53" s="4">
        <v>0.40200000000000002</v>
      </c>
    </row>
    <row r="54" spans="1:5" ht="15" customHeight="1" x14ac:dyDescent="0.25">
      <c r="A54" s="3" t="s">
        <v>9</v>
      </c>
      <c r="B54" s="4">
        <v>0.88800000000000001</v>
      </c>
      <c r="C54" s="4">
        <v>0.432</v>
      </c>
      <c r="D54" s="4">
        <v>0.73799999999999999</v>
      </c>
      <c r="E54" s="4">
        <v>0.502</v>
      </c>
    </row>
    <row r="56" spans="1:5" ht="15" customHeight="1" x14ac:dyDescent="0.25">
      <c r="A56" s="6" t="s">
        <v>32</v>
      </c>
    </row>
    <row r="57" spans="1:5" ht="15" customHeight="1" x14ac:dyDescent="0.25">
      <c r="A57" s="3" t="s">
        <v>5</v>
      </c>
      <c r="B57" s="3" t="s">
        <v>6</v>
      </c>
      <c r="C57" s="3" t="s">
        <v>7</v>
      </c>
      <c r="D57" s="3" t="s">
        <v>8</v>
      </c>
      <c r="E57" s="3" t="s">
        <v>9</v>
      </c>
    </row>
    <row r="58" spans="1:5" ht="15" customHeight="1" x14ac:dyDescent="0.25">
      <c r="A58" s="3" t="s">
        <v>6</v>
      </c>
      <c r="B58" s="4">
        <v>0.48220164836949558</v>
      </c>
      <c r="C58" s="4">
        <v>0.16914122067557871</v>
      </c>
      <c r="D58" s="4">
        <v>0.2121642083459476</v>
      </c>
      <c r="E58" s="4">
        <v>0.18963897125990831</v>
      </c>
    </row>
    <row r="59" spans="1:5" ht="15" customHeight="1" x14ac:dyDescent="0.25">
      <c r="A59" s="3" t="s">
        <v>7</v>
      </c>
      <c r="B59" s="4">
        <v>0.80529182083630846</v>
      </c>
      <c r="C59" s="4">
        <v>0.44246499311299559</v>
      </c>
      <c r="D59" s="4">
        <v>0.65637231205708191</v>
      </c>
      <c r="E59" s="4">
        <v>0.41284481758175468</v>
      </c>
    </row>
    <row r="60" spans="1:5" ht="15" customHeight="1" x14ac:dyDescent="0.25">
      <c r="A60" s="3" t="s">
        <v>8</v>
      </c>
      <c r="B60" s="4">
        <v>0.77117962487156699</v>
      </c>
      <c r="C60" s="4">
        <v>0.2272678314130519</v>
      </c>
      <c r="D60" s="4">
        <v>0.34629602935005371</v>
      </c>
      <c r="E60" s="4">
        <v>0.35992874032614502</v>
      </c>
    </row>
    <row r="61" spans="1:5" ht="15" customHeight="1" x14ac:dyDescent="0.25">
      <c r="A61" s="3" t="s">
        <v>9</v>
      </c>
      <c r="B61" s="4">
        <v>0.8573463119959378</v>
      </c>
      <c r="C61" s="4">
        <v>0.38926225373658452</v>
      </c>
      <c r="D61" s="4">
        <v>0.69774708335753877</v>
      </c>
      <c r="E61" s="4">
        <v>0.45832636322986231</v>
      </c>
    </row>
    <row r="63" spans="1:5" ht="15" customHeight="1" x14ac:dyDescent="0.25">
      <c r="A63" s="6" t="s">
        <v>33</v>
      </c>
    </row>
    <row r="64" spans="1:5" ht="15" customHeight="1" x14ac:dyDescent="0.25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</row>
    <row r="65" spans="1:10" ht="15" customHeight="1" x14ac:dyDescent="0.25">
      <c r="A65" s="3" t="s">
        <v>6</v>
      </c>
      <c r="B65" s="4">
        <v>0.56940188592650376</v>
      </c>
      <c r="C65" s="4">
        <v>0.23940288623950651</v>
      </c>
      <c r="D65" s="4">
        <v>0.28767845924667479</v>
      </c>
      <c r="E65" s="4">
        <v>0.26256966467486847</v>
      </c>
    </row>
    <row r="66" spans="1:10" ht="15" customHeight="1" x14ac:dyDescent="0.25">
      <c r="A66" s="3" t="s">
        <v>7</v>
      </c>
      <c r="B66" s="4">
        <v>0.86952362764983593</v>
      </c>
      <c r="C66" s="4">
        <v>0.52974848841992794</v>
      </c>
      <c r="D66" s="4">
        <v>0.73660844912014345</v>
      </c>
      <c r="E66" s="4">
        <v>0.49982612437886198</v>
      </c>
    </row>
    <row r="67" spans="1:10" ht="15" customHeight="1" x14ac:dyDescent="0.25">
      <c r="A67" s="3" t="s">
        <v>8</v>
      </c>
      <c r="B67" s="4">
        <v>0.84012378140411692</v>
      </c>
      <c r="C67" s="4">
        <v>0.3043308572848008</v>
      </c>
      <c r="D67" s="4">
        <v>0.43141182291333408</v>
      </c>
      <c r="E67" s="4">
        <v>0.44556563040431929</v>
      </c>
    </row>
    <row r="68" spans="1:10" ht="15" customHeight="1" x14ac:dyDescent="0.25">
      <c r="A68" s="3" t="s">
        <v>9</v>
      </c>
      <c r="B68" s="4">
        <v>0.91273719980589785</v>
      </c>
      <c r="C68" s="4">
        <v>0.47577465656618673</v>
      </c>
      <c r="D68" s="4">
        <v>0.77462373058276235</v>
      </c>
      <c r="E68" s="4">
        <v>0.54564313940829168</v>
      </c>
    </row>
    <row r="71" spans="1:10" ht="15" customHeight="1" x14ac:dyDescent="0.25">
      <c r="A71" s="6" t="s">
        <v>34</v>
      </c>
    </row>
    <row r="72" spans="1:10" ht="15" customHeight="1" x14ac:dyDescent="0.25">
      <c r="A72" s="3" t="s">
        <v>35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41</v>
      </c>
      <c r="H72" s="3" t="s">
        <v>42</v>
      </c>
      <c r="I72" s="3" t="s">
        <v>43</v>
      </c>
      <c r="J72" s="3" t="s">
        <v>44</v>
      </c>
    </row>
    <row r="73" spans="1:10" ht="15" customHeight="1" x14ac:dyDescent="0.25">
      <c r="A73" s="3" t="s">
        <v>6</v>
      </c>
      <c r="B73" s="3" t="s">
        <v>6</v>
      </c>
      <c r="C73" s="5">
        <v>263</v>
      </c>
      <c r="D73" s="5">
        <v>500</v>
      </c>
      <c r="E73" s="5">
        <v>500</v>
      </c>
      <c r="F73" s="5">
        <v>0</v>
      </c>
      <c r="G73" s="5">
        <v>0</v>
      </c>
      <c r="H73" s="4">
        <v>0.52600000000000002</v>
      </c>
      <c r="I73" s="4">
        <v>0.48220164836949558</v>
      </c>
      <c r="J73" s="4">
        <v>0.56940188592650376</v>
      </c>
    </row>
    <row r="74" spans="1:10" ht="15" customHeight="1" x14ac:dyDescent="0.25">
      <c r="A74" s="3" t="s">
        <v>6</v>
      </c>
      <c r="B74" s="3" t="s">
        <v>7</v>
      </c>
      <c r="C74" s="5">
        <v>101</v>
      </c>
      <c r="D74" s="5">
        <v>500</v>
      </c>
      <c r="E74" s="5">
        <v>500</v>
      </c>
      <c r="F74" s="5">
        <v>0</v>
      </c>
      <c r="G74" s="5">
        <v>0</v>
      </c>
      <c r="H74" s="4">
        <v>0.20200000000000001</v>
      </c>
      <c r="I74" s="4">
        <v>0.16914122067557871</v>
      </c>
      <c r="J74" s="4">
        <v>0.23940288623950651</v>
      </c>
    </row>
    <row r="75" spans="1:10" ht="15" customHeight="1" x14ac:dyDescent="0.25">
      <c r="A75" s="3" t="s">
        <v>6</v>
      </c>
      <c r="B75" s="3" t="s">
        <v>8</v>
      </c>
      <c r="C75" s="5">
        <v>124</v>
      </c>
      <c r="D75" s="5">
        <v>500</v>
      </c>
      <c r="E75" s="5">
        <v>500</v>
      </c>
      <c r="F75" s="5">
        <v>0</v>
      </c>
      <c r="G75" s="5">
        <v>0</v>
      </c>
      <c r="H75" s="4">
        <v>0.248</v>
      </c>
      <c r="I75" s="4">
        <v>0.2121642083459476</v>
      </c>
      <c r="J75" s="4">
        <v>0.28767845924667479</v>
      </c>
    </row>
    <row r="76" spans="1:10" ht="15" customHeight="1" x14ac:dyDescent="0.25">
      <c r="A76" s="3" t="s">
        <v>6</v>
      </c>
      <c r="B76" s="3" t="s">
        <v>9</v>
      </c>
      <c r="C76" s="5">
        <v>112</v>
      </c>
      <c r="D76" s="5">
        <v>500</v>
      </c>
      <c r="E76" s="5">
        <v>500</v>
      </c>
      <c r="F76" s="5">
        <v>0</v>
      </c>
      <c r="G76" s="5">
        <v>0</v>
      </c>
      <c r="H76" s="4">
        <v>0.224</v>
      </c>
      <c r="I76" s="4">
        <v>0.18963897125990831</v>
      </c>
      <c r="J76" s="4">
        <v>0.26256966467486847</v>
      </c>
    </row>
    <row r="77" spans="1:10" ht="15" customHeight="1" x14ac:dyDescent="0.25">
      <c r="A77" s="3" t="s">
        <v>7</v>
      </c>
      <c r="B77" s="3" t="s">
        <v>6</v>
      </c>
      <c r="C77" s="5">
        <v>420</v>
      </c>
      <c r="D77" s="5">
        <v>500</v>
      </c>
      <c r="E77" s="5">
        <v>500</v>
      </c>
      <c r="F77" s="5">
        <v>0</v>
      </c>
      <c r="G77" s="5">
        <v>0</v>
      </c>
      <c r="H77" s="4">
        <v>0.84</v>
      </c>
      <c r="I77" s="4">
        <v>0.80529182083630846</v>
      </c>
      <c r="J77" s="4">
        <v>0.86952362764983593</v>
      </c>
    </row>
    <row r="78" spans="1:10" ht="15" customHeight="1" x14ac:dyDescent="0.25">
      <c r="A78" s="3" t="s">
        <v>7</v>
      </c>
      <c r="B78" s="3" t="s">
        <v>7</v>
      </c>
      <c r="C78" s="5">
        <v>243</v>
      </c>
      <c r="D78" s="5">
        <v>500</v>
      </c>
      <c r="E78" s="5">
        <v>500</v>
      </c>
      <c r="F78" s="5">
        <v>0</v>
      </c>
      <c r="G78" s="5">
        <v>0</v>
      </c>
      <c r="H78" s="4">
        <v>0.48599999999999999</v>
      </c>
      <c r="I78" s="4">
        <v>0.44246499311299559</v>
      </c>
      <c r="J78" s="4">
        <v>0.52974848841992794</v>
      </c>
    </row>
    <row r="79" spans="1:10" ht="15" customHeight="1" x14ac:dyDescent="0.25">
      <c r="A79" s="3" t="s">
        <v>7</v>
      </c>
      <c r="B79" s="3" t="s">
        <v>8</v>
      </c>
      <c r="C79" s="5">
        <v>349</v>
      </c>
      <c r="D79" s="5">
        <v>500</v>
      </c>
      <c r="E79" s="5">
        <v>500</v>
      </c>
      <c r="F79" s="5">
        <v>0</v>
      </c>
      <c r="G79" s="5">
        <v>0</v>
      </c>
      <c r="H79" s="4">
        <v>0.69799999999999995</v>
      </c>
      <c r="I79" s="4">
        <v>0.65637231205708191</v>
      </c>
      <c r="J79" s="4">
        <v>0.73660844912014345</v>
      </c>
    </row>
    <row r="80" spans="1:10" ht="15" customHeight="1" x14ac:dyDescent="0.25">
      <c r="A80" s="3" t="s">
        <v>7</v>
      </c>
      <c r="B80" s="3" t="s">
        <v>9</v>
      </c>
      <c r="C80" s="5">
        <v>228</v>
      </c>
      <c r="D80" s="5">
        <v>500</v>
      </c>
      <c r="E80" s="5">
        <v>500</v>
      </c>
      <c r="F80" s="5">
        <v>0</v>
      </c>
      <c r="G80" s="5">
        <v>0</v>
      </c>
      <c r="H80" s="4">
        <v>0.45600000000000002</v>
      </c>
      <c r="I80" s="4">
        <v>0.41284481758175468</v>
      </c>
      <c r="J80" s="4">
        <v>0.49982612437886198</v>
      </c>
    </row>
    <row r="81" spans="1:10" ht="15" customHeight="1" x14ac:dyDescent="0.25">
      <c r="A81" s="3" t="s">
        <v>8</v>
      </c>
      <c r="B81" s="3" t="s">
        <v>6</v>
      </c>
      <c r="C81" s="5">
        <v>404</v>
      </c>
      <c r="D81" s="5">
        <v>500</v>
      </c>
      <c r="E81" s="5">
        <v>498</v>
      </c>
      <c r="F81" s="5">
        <v>2</v>
      </c>
      <c r="G81" s="5">
        <v>0</v>
      </c>
      <c r="H81" s="4">
        <v>0.80800000000000005</v>
      </c>
      <c r="I81" s="4">
        <v>0.77117962487156699</v>
      </c>
      <c r="J81" s="4">
        <v>0.84012378140411692</v>
      </c>
    </row>
    <row r="82" spans="1:10" ht="15" customHeight="1" x14ac:dyDescent="0.25">
      <c r="A82" s="3" t="s">
        <v>8</v>
      </c>
      <c r="B82" s="3" t="s">
        <v>7</v>
      </c>
      <c r="C82" s="5">
        <v>132</v>
      </c>
      <c r="D82" s="5">
        <v>500</v>
      </c>
      <c r="E82" s="5">
        <v>497</v>
      </c>
      <c r="F82" s="5">
        <v>3</v>
      </c>
      <c r="G82" s="5">
        <v>0</v>
      </c>
      <c r="H82" s="4">
        <v>0.26400000000000001</v>
      </c>
      <c r="I82" s="4">
        <v>0.2272678314130519</v>
      </c>
      <c r="J82" s="4">
        <v>0.3043308572848008</v>
      </c>
    </row>
    <row r="83" spans="1:10" ht="15" customHeight="1" x14ac:dyDescent="0.25">
      <c r="A83" s="3" t="s">
        <v>8</v>
      </c>
      <c r="B83" s="3" t="s">
        <v>8</v>
      </c>
      <c r="C83" s="5">
        <v>194</v>
      </c>
      <c r="D83" s="5">
        <v>500</v>
      </c>
      <c r="E83" s="5">
        <v>500</v>
      </c>
      <c r="F83" s="5">
        <v>0</v>
      </c>
      <c r="G83" s="5">
        <v>0</v>
      </c>
      <c r="H83" s="4">
        <v>0.38800000000000001</v>
      </c>
      <c r="I83" s="4">
        <v>0.34629602935005371</v>
      </c>
      <c r="J83" s="4">
        <v>0.43141182291333408</v>
      </c>
    </row>
    <row r="84" spans="1:10" ht="15" customHeight="1" x14ac:dyDescent="0.25">
      <c r="A84" s="3" t="s">
        <v>8</v>
      </c>
      <c r="B84" s="3" t="s">
        <v>9</v>
      </c>
      <c r="C84" s="5">
        <v>201</v>
      </c>
      <c r="D84" s="5">
        <v>500</v>
      </c>
      <c r="E84" s="5">
        <v>498</v>
      </c>
      <c r="F84" s="5">
        <v>2</v>
      </c>
      <c r="G84" s="5">
        <v>0</v>
      </c>
      <c r="H84" s="4">
        <v>0.40200000000000002</v>
      </c>
      <c r="I84" s="4">
        <v>0.35992874032614502</v>
      </c>
      <c r="J84" s="4">
        <v>0.44556563040431929</v>
      </c>
    </row>
    <row r="85" spans="1:10" ht="15" customHeight="1" x14ac:dyDescent="0.25">
      <c r="A85" s="3" t="s">
        <v>9</v>
      </c>
      <c r="B85" s="3" t="s">
        <v>6</v>
      </c>
      <c r="C85" s="5">
        <v>444</v>
      </c>
      <c r="D85" s="5">
        <v>500</v>
      </c>
      <c r="E85" s="5">
        <v>500</v>
      </c>
      <c r="F85" s="5">
        <v>0</v>
      </c>
      <c r="G85" s="5">
        <v>0</v>
      </c>
      <c r="H85" s="4">
        <v>0.88800000000000001</v>
      </c>
      <c r="I85" s="4">
        <v>0.8573463119959378</v>
      </c>
      <c r="J85" s="4">
        <v>0.91273719980589785</v>
      </c>
    </row>
    <row r="86" spans="1:10" ht="15" customHeight="1" x14ac:dyDescent="0.25">
      <c r="A86" s="3" t="s">
        <v>9</v>
      </c>
      <c r="B86" s="3" t="s">
        <v>7</v>
      </c>
      <c r="C86" s="5">
        <v>216</v>
      </c>
      <c r="D86" s="5">
        <v>500</v>
      </c>
      <c r="E86" s="5">
        <v>498</v>
      </c>
      <c r="F86" s="5">
        <v>2</v>
      </c>
      <c r="G86" s="5">
        <v>0</v>
      </c>
      <c r="H86" s="4">
        <v>0.432</v>
      </c>
      <c r="I86" s="4">
        <v>0.38926225373658452</v>
      </c>
      <c r="J86" s="4">
        <v>0.47577465656618673</v>
      </c>
    </row>
    <row r="87" spans="1:10" ht="15" customHeight="1" x14ac:dyDescent="0.25">
      <c r="A87" s="3" t="s">
        <v>9</v>
      </c>
      <c r="B87" s="3" t="s">
        <v>8</v>
      </c>
      <c r="C87" s="5">
        <v>369</v>
      </c>
      <c r="D87" s="5">
        <v>500</v>
      </c>
      <c r="E87" s="5">
        <v>500</v>
      </c>
      <c r="F87" s="5">
        <v>0</v>
      </c>
      <c r="G87" s="5">
        <v>0</v>
      </c>
      <c r="H87" s="4">
        <v>0.73799999999999999</v>
      </c>
      <c r="I87" s="4">
        <v>0.69774708335753877</v>
      </c>
      <c r="J87" s="4">
        <v>0.77462373058276235</v>
      </c>
    </row>
    <row r="88" spans="1:10" ht="15" customHeight="1" x14ac:dyDescent="0.25">
      <c r="A88" s="3" t="s">
        <v>9</v>
      </c>
      <c r="B88" s="3" t="s">
        <v>9</v>
      </c>
      <c r="C88" s="5">
        <v>251</v>
      </c>
      <c r="D88" s="5">
        <v>500</v>
      </c>
      <c r="E88" s="5">
        <v>500</v>
      </c>
      <c r="F88" s="5">
        <v>0</v>
      </c>
      <c r="G88" s="5">
        <v>0</v>
      </c>
      <c r="H88" s="4">
        <v>0.502</v>
      </c>
      <c r="I88" s="4">
        <v>0.45832636322986231</v>
      </c>
      <c r="J88" s="4">
        <v>0.54564313940829168</v>
      </c>
    </row>
  </sheetData>
  <pageMargins left="0.25" right="0.25" top="0.5" bottom="0.5" header="0.2" footer="0.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5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2" width="23" customWidth="1"/>
    <col min="3" max="5" width="13" customWidth="1"/>
    <col min="6" max="6" width="16" customWidth="1"/>
    <col min="7" max="11" width="13" customWidth="1"/>
  </cols>
  <sheetData>
    <row r="1" spans="1:11" ht="24" customHeight="1" x14ac:dyDescent="0.3">
      <c r="A1" s="1" t="s">
        <v>208</v>
      </c>
    </row>
    <row r="2" spans="1:11" ht="30" customHeight="1" x14ac:dyDescent="0.25">
      <c r="A2" s="2" t="s">
        <v>209</v>
      </c>
    </row>
    <row r="3" spans="1:11" ht="60" customHeight="1" x14ac:dyDescent="0.25">
      <c r="A3" s="2" t="s">
        <v>210</v>
      </c>
    </row>
    <row r="4" spans="1:11" ht="42" customHeight="1" x14ac:dyDescent="0.25">
      <c r="A4" s="2" t="s">
        <v>211</v>
      </c>
    </row>
    <row r="5" spans="1:11" x14ac:dyDescent="0.25">
      <c r="A5" t="s">
        <v>212</v>
      </c>
    </row>
    <row r="6" spans="1:11" ht="15" customHeight="1" x14ac:dyDescent="0.25">
      <c r="A6" s="6" t="s">
        <v>213</v>
      </c>
      <c r="G6" t="s">
        <v>214</v>
      </c>
    </row>
    <row r="7" spans="1:11" ht="30" customHeight="1" x14ac:dyDescent="0.25">
      <c r="A7" s="3" t="s">
        <v>215</v>
      </c>
      <c r="B7" s="3" t="s">
        <v>6</v>
      </c>
      <c r="C7" s="3" t="s">
        <v>7</v>
      </c>
      <c r="D7" s="3" t="s">
        <v>8</v>
      </c>
      <c r="E7" s="3" t="s">
        <v>9</v>
      </c>
      <c r="G7" s="3" t="s">
        <v>215</v>
      </c>
      <c r="H7" s="3" t="s">
        <v>6</v>
      </c>
      <c r="I7" s="3" t="s">
        <v>7</v>
      </c>
      <c r="J7" s="3" t="s">
        <v>8</v>
      </c>
      <c r="K7" s="3" t="s">
        <v>9</v>
      </c>
    </row>
    <row r="8" spans="1:11" ht="30" customHeight="1" x14ac:dyDescent="0.25">
      <c r="A8" s="3" t="s">
        <v>6</v>
      </c>
      <c r="B8" s="9">
        <v>5.8000000000000052E-2</v>
      </c>
      <c r="C8" s="9">
        <v>0.1068752556237219</v>
      </c>
      <c r="D8" s="9">
        <v>2.1456475583864099E-2</v>
      </c>
      <c r="E8" s="9">
        <v>5.0530612244897993E-2</v>
      </c>
      <c r="G8" s="3" t="s">
        <v>6</v>
      </c>
      <c r="H8" s="9">
        <v>6.953846153846166E-2</v>
      </c>
      <c r="I8" s="9">
        <v>0.1200689655172414</v>
      </c>
      <c r="J8" s="9">
        <v>4.963636363636359E-2</v>
      </c>
      <c r="K8" s="9">
        <v>4.3545454545454609E-2</v>
      </c>
    </row>
    <row r="9" spans="1:11" ht="30" customHeight="1" x14ac:dyDescent="0.25">
      <c r="A9" s="3" t="s">
        <v>7</v>
      </c>
      <c r="B9" s="9">
        <v>-8.7525562372192667E-4</v>
      </c>
      <c r="C9" s="9">
        <v>-6.0000000000000053E-3</v>
      </c>
      <c r="D9" s="9">
        <v>4.3966804979253087E-2</v>
      </c>
      <c r="E9" s="9">
        <v>-3.2019646365422427E-2</v>
      </c>
      <c r="G9" s="3" t="s">
        <v>7</v>
      </c>
      <c r="H9" s="9">
        <v>4.1103448275862098E-2</v>
      </c>
      <c r="I9" s="9">
        <v>0.14988235294117649</v>
      </c>
      <c r="J9" s="9">
        <v>0.12864150943396219</v>
      </c>
      <c r="K9" s="9">
        <v>0.1244285714285714</v>
      </c>
    </row>
    <row r="10" spans="1:11" ht="30" customHeight="1" x14ac:dyDescent="0.25">
      <c r="A10" s="3" t="s">
        <v>8</v>
      </c>
      <c r="B10" s="9">
        <v>2.8543524416135949E-2</v>
      </c>
      <c r="C10" s="9">
        <v>-7.5966804979253066E-2</v>
      </c>
      <c r="D10" s="9">
        <v>-0.14799999999999999</v>
      </c>
      <c r="E10" s="9">
        <v>2.2165137614678861E-2</v>
      </c>
      <c r="G10" s="3" t="s">
        <v>8</v>
      </c>
      <c r="H10" s="9">
        <v>0.22763636363636361</v>
      </c>
      <c r="I10" s="9">
        <v>8.086792452830191E-2</v>
      </c>
      <c r="J10" s="9">
        <v>0.18533333333333329</v>
      </c>
      <c r="K10" s="9">
        <v>0.19481967213114751</v>
      </c>
    </row>
    <row r="11" spans="1:11" ht="30" customHeight="1" x14ac:dyDescent="0.25">
      <c r="A11" s="3" t="s">
        <v>9</v>
      </c>
      <c r="B11" s="9">
        <v>6.7469387755102028E-2</v>
      </c>
      <c r="C11" s="9">
        <v>-3.9803536345776047E-3</v>
      </c>
      <c r="D11" s="9">
        <v>4.3834862385321083E-2</v>
      </c>
      <c r="E11" s="9">
        <v>6.0000000000000053E-3</v>
      </c>
      <c r="G11" s="3" t="s">
        <v>9</v>
      </c>
      <c r="H11" s="9">
        <v>9.0363636363636424E-2</v>
      </c>
      <c r="I11" s="9">
        <v>6.2785714285714278E-2</v>
      </c>
      <c r="J11" s="9">
        <v>6.9540983606557361E-2</v>
      </c>
      <c r="K11" s="9">
        <v>0.13643478260869571</v>
      </c>
    </row>
    <row r="13" spans="1:11" x14ac:dyDescent="0.25">
      <c r="A13" t="s">
        <v>216</v>
      </c>
    </row>
    <row r="14" spans="1:11" ht="15" customHeight="1" x14ac:dyDescent="0.25">
      <c r="A14" s="6" t="s">
        <v>217</v>
      </c>
      <c r="B14" s="10">
        <v>1.1375000000000021E-2</v>
      </c>
      <c r="C14" t="s">
        <v>218</v>
      </c>
      <c r="D14" s="10">
        <v>0.105375</v>
      </c>
    </row>
    <row r="15" spans="1:11" ht="15" customHeight="1" x14ac:dyDescent="0.25">
      <c r="A15" s="3" t="s">
        <v>219</v>
      </c>
      <c r="B15" s="3"/>
      <c r="C15" s="3"/>
      <c r="D15" s="3"/>
      <c r="E15" s="3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2" width="23" customWidth="1"/>
    <col min="3" max="5" width="13" customWidth="1"/>
    <col min="6" max="6" width="16" customWidth="1"/>
    <col min="7" max="11" width="13" customWidth="1"/>
  </cols>
  <sheetData>
    <row r="1" spans="1:11" ht="24" customHeight="1" x14ac:dyDescent="0.3">
      <c r="A1" s="1" t="s">
        <v>220</v>
      </c>
    </row>
    <row r="2" spans="1:11" ht="30" customHeight="1" x14ac:dyDescent="0.25">
      <c r="A2" s="2" t="s">
        <v>209</v>
      </c>
    </row>
    <row r="3" spans="1:11" ht="60" customHeight="1" x14ac:dyDescent="0.25">
      <c r="A3" s="2" t="s">
        <v>221</v>
      </c>
    </row>
    <row r="4" spans="1:11" ht="42" customHeight="1" x14ac:dyDescent="0.25">
      <c r="A4" s="2" t="s">
        <v>211</v>
      </c>
    </row>
    <row r="5" spans="1:11" x14ac:dyDescent="0.25">
      <c r="A5" t="s">
        <v>212</v>
      </c>
    </row>
    <row r="6" spans="1:11" ht="15" customHeight="1" x14ac:dyDescent="0.25">
      <c r="A6" s="6" t="s">
        <v>222</v>
      </c>
      <c r="G6" t="s">
        <v>223</v>
      </c>
    </row>
    <row r="7" spans="1:11" ht="30" customHeight="1" x14ac:dyDescent="0.25">
      <c r="A7" s="3" t="s">
        <v>215</v>
      </c>
      <c r="B7" s="3" t="s">
        <v>6</v>
      </c>
      <c r="C7" s="3" t="s">
        <v>7</v>
      </c>
      <c r="D7" s="3" t="s">
        <v>8</v>
      </c>
      <c r="E7" s="3" t="s">
        <v>9</v>
      </c>
      <c r="G7" s="3" t="s">
        <v>215</v>
      </c>
      <c r="H7" s="3" t="s">
        <v>6</v>
      </c>
      <c r="I7" s="3" t="s">
        <v>7</v>
      </c>
      <c r="J7" s="3" t="s">
        <v>8</v>
      </c>
      <c r="K7" s="3" t="s">
        <v>9</v>
      </c>
    </row>
    <row r="8" spans="1:11" ht="30" customHeight="1" x14ac:dyDescent="0.25">
      <c r="A8" s="3" t="s">
        <v>6</v>
      </c>
      <c r="B8" s="9">
        <v>2.600000000000002E-2</v>
      </c>
      <c r="C8" s="9">
        <v>5.0875255623721923E-2</v>
      </c>
      <c r="D8" s="9">
        <v>-1.654352441613588E-2</v>
      </c>
      <c r="E8" s="9">
        <v>6.0530612244898002E-2</v>
      </c>
      <c r="G8" s="3" t="s">
        <v>6</v>
      </c>
      <c r="H8" s="9">
        <v>3.7538461538461632E-2</v>
      </c>
      <c r="I8" s="9">
        <v>6.4068965517241422E-2</v>
      </c>
      <c r="J8" s="9">
        <v>1.163636363636361E-2</v>
      </c>
      <c r="K8" s="9">
        <v>5.3545454545454618E-2</v>
      </c>
    </row>
    <row r="9" spans="1:11" ht="30" customHeight="1" x14ac:dyDescent="0.25">
      <c r="A9" s="3" t="s">
        <v>7</v>
      </c>
      <c r="B9" s="9">
        <v>-8.8752556237219338E-3</v>
      </c>
      <c r="C9" s="9">
        <v>-1.4000000000000011E-2</v>
      </c>
      <c r="D9" s="9">
        <v>3.5966804979253093E-2</v>
      </c>
      <c r="E9" s="9">
        <v>-5.4019646365422391E-2</v>
      </c>
      <c r="G9" s="3" t="s">
        <v>7</v>
      </c>
      <c r="H9" s="9">
        <v>3.3103448275862091E-2</v>
      </c>
      <c r="I9" s="9">
        <v>0.14188235294117649</v>
      </c>
      <c r="J9" s="9">
        <v>0.12064150943396219</v>
      </c>
      <c r="K9" s="9">
        <v>0.1024285714285714</v>
      </c>
    </row>
    <row r="10" spans="1:11" ht="30" customHeight="1" x14ac:dyDescent="0.25">
      <c r="A10" s="3" t="s">
        <v>8</v>
      </c>
      <c r="B10" s="9">
        <v>7.2543524416135985E-2</v>
      </c>
      <c r="C10" s="9">
        <v>-7.3966804979253065E-2</v>
      </c>
      <c r="D10" s="9">
        <v>-0.112</v>
      </c>
      <c r="E10" s="9">
        <v>8.0165137614678916E-2</v>
      </c>
      <c r="G10" s="3" t="s">
        <v>8</v>
      </c>
      <c r="H10" s="9">
        <v>0.27163636363636368</v>
      </c>
      <c r="I10" s="9">
        <v>8.2867924528301912E-2</v>
      </c>
      <c r="J10" s="9">
        <v>0.2213333333333333</v>
      </c>
      <c r="K10" s="9">
        <v>0.25281967213114748</v>
      </c>
    </row>
    <row r="11" spans="1:11" ht="30" customHeight="1" x14ac:dyDescent="0.25">
      <c r="A11" s="3" t="s">
        <v>9</v>
      </c>
      <c r="B11" s="9">
        <v>5.1469387755102007E-2</v>
      </c>
      <c r="C11" s="9">
        <v>-5.7980353634577597E-2</v>
      </c>
      <c r="D11" s="9">
        <v>5.9834862385321097E-2</v>
      </c>
      <c r="E11" s="9">
        <v>2.0000000000000022E-3</v>
      </c>
      <c r="G11" s="3" t="s">
        <v>9</v>
      </c>
      <c r="H11" s="9">
        <v>7.4363636363636409E-2</v>
      </c>
      <c r="I11" s="9">
        <v>8.7857142857142856E-3</v>
      </c>
      <c r="J11" s="9">
        <v>8.5540983606557375E-2</v>
      </c>
      <c r="K11" s="9">
        <v>0.13243478260869571</v>
      </c>
    </row>
    <row r="13" spans="1:11" x14ac:dyDescent="0.25">
      <c r="A13" t="s">
        <v>216</v>
      </c>
    </row>
    <row r="14" spans="1:11" ht="15" customHeight="1" x14ac:dyDescent="0.25">
      <c r="A14" s="6" t="s">
        <v>217</v>
      </c>
      <c r="B14" s="10">
        <v>6.3750000000000204E-3</v>
      </c>
      <c r="C14" t="s">
        <v>218</v>
      </c>
      <c r="D14" s="10">
        <v>0.10037500000000001</v>
      </c>
    </row>
    <row r="15" spans="1:11" ht="15" customHeight="1" x14ac:dyDescent="0.25">
      <c r="A15" s="3" t="s">
        <v>224</v>
      </c>
      <c r="B15" s="3"/>
      <c r="C15" s="3"/>
      <c r="D15" s="3"/>
      <c r="E15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5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9" customWidth="1"/>
    <col min="2" max="2" width="23" customWidth="1"/>
    <col min="3" max="5" width="13" customWidth="1"/>
    <col min="6" max="6" width="16" customWidth="1"/>
    <col min="7" max="11" width="13" customWidth="1"/>
  </cols>
  <sheetData>
    <row r="1" spans="1:11" ht="24" customHeight="1" x14ac:dyDescent="0.3">
      <c r="A1" s="1" t="s">
        <v>225</v>
      </c>
    </row>
    <row r="2" spans="1:11" ht="30" customHeight="1" x14ac:dyDescent="0.25">
      <c r="A2" s="2" t="s">
        <v>226</v>
      </c>
    </row>
    <row r="3" spans="1:11" ht="60" customHeight="1" x14ac:dyDescent="0.25">
      <c r="A3" s="2" t="s">
        <v>227</v>
      </c>
    </row>
    <row r="4" spans="1:11" ht="42" customHeight="1" x14ac:dyDescent="0.25">
      <c r="A4" s="2" t="s">
        <v>228</v>
      </c>
    </row>
    <row r="5" spans="1:11" x14ac:dyDescent="0.25">
      <c r="A5" t="s">
        <v>229</v>
      </c>
    </row>
    <row r="6" spans="1:11" ht="15" customHeight="1" x14ac:dyDescent="0.25">
      <c r="A6" s="6" t="s">
        <v>230</v>
      </c>
    </row>
    <row r="7" spans="1:11" ht="30" customHeight="1" x14ac:dyDescent="0.25">
      <c r="A7" s="3" t="s">
        <v>215</v>
      </c>
      <c r="B7" s="3" t="s">
        <v>6</v>
      </c>
      <c r="C7" s="3" t="s">
        <v>7</v>
      </c>
      <c r="D7" s="3" t="s">
        <v>8</v>
      </c>
      <c r="E7" s="3" t="s">
        <v>9</v>
      </c>
      <c r="G7" s="3"/>
      <c r="H7" s="3"/>
      <c r="I7" s="3"/>
      <c r="J7" s="3"/>
      <c r="K7" s="3"/>
    </row>
    <row r="8" spans="1:11" ht="30" customHeight="1" x14ac:dyDescent="0.25">
      <c r="A8" s="3" t="s">
        <v>6</v>
      </c>
      <c r="B8" s="9">
        <v>-3.2000000000000028E-2</v>
      </c>
      <c r="C8" s="9">
        <v>-5.5999999999999987E-2</v>
      </c>
      <c r="D8" s="9">
        <v>-3.7999999999999978E-2</v>
      </c>
      <c r="E8" s="9">
        <v>1.0000000000000011E-2</v>
      </c>
      <c r="G8" s="3"/>
      <c r="H8" s="8"/>
      <c r="I8" s="8"/>
      <c r="J8" s="8"/>
      <c r="K8" s="8"/>
    </row>
    <row r="9" spans="1:11" ht="30" customHeight="1" x14ac:dyDescent="0.25">
      <c r="A9" s="3" t="s">
        <v>7</v>
      </c>
      <c r="B9" s="9">
        <v>-8.0000000000000071E-3</v>
      </c>
      <c r="C9" s="9">
        <v>-8.0000000000000071E-3</v>
      </c>
      <c r="D9" s="9">
        <v>-8.0000000000000071E-3</v>
      </c>
      <c r="E9" s="9">
        <v>-2.1999999999999961E-2</v>
      </c>
      <c r="G9" s="3"/>
      <c r="H9" s="8"/>
      <c r="I9" s="8"/>
      <c r="J9" s="8"/>
      <c r="K9" s="8"/>
    </row>
    <row r="10" spans="1:11" ht="30" customHeight="1" x14ac:dyDescent="0.25">
      <c r="A10" s="3" t="s">
        <v>8</v>
      </c>
      <c r="B10" s="9">
        <v>4.4000000000000039E-2</v>
      </c>
      <c r="C10" s="9">
        <v>2.0000000000000022E-3</v>
      </c>
      <c r="D10" s="9">
        <v>3.6000000000000032E-2</v>
      </c>
      <c r="E10" s="9">
        <v>5.8000000000000052E-2</v>
      </c>
      <c r="G10" s="3"/>
      <c r="H10" s="8"/>
      <c r="I10" s="8"/>
      <c r="J10" s="8"/>
      <c r="K10" s="8"/>
    </row>
    <row r="11" spans="1:11" ht="30" customHeight="1" x14ac:dyDescent="0.25">
      <c r="A11" s="3" t="s">
        <v>9</v>
      </c>
      <c r="B11" s="9">
        <v>-1.6000000000000011E-2</v>
      </c>
      <c r="C11" s="9">
        <v>-5.3999999999999992E-2</v>
      </c>
      <c r="D11" s="9">
        <v>1.6000000000000011E-2</v>
      </c>
      <c r="E11" s="9">
        <v>-4.0000000000000044E-3</v>
      </c>
      <c r="G11" s="3"/>
      <c r="H11" s="8"/>
      <c r="I11" s="8"/>
      <c r="J11" s="8"/>
      <c r="K11" s="8"/>
    </row>
    <row r="13" spans="1:11" x14ac:dyDescent="0.25">
      <c r="A13" t="s">
        <v>216</v>
      </c>
    </row>
    <row r="14" spans="1:11" ht="15" customHeight="1" x14ac:dyDescent="0.25">
      <c r="A14" s="6" t="s">
        <v>231</v>
      </c>
      <c r="B14" s="10">
        <v>-5.0000000000000036E-3</v>
      </c>
    </row>
    <row r="15" spans="1:11" ht="15" customHeight="1" x14ac:dyDescent="0.25">
      <c r="A15" s="3" t="s">
        <v>232</v>
      </c>
      <c r="B15" s="3"/>
      <c r="C15" s="3"/>
      <c r="D15" s="3"/>
      <c r="E15" s="3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54"/>
  <sheetViews>
    <sheetView showGridLines="0" tabSelected="1" workbookViewId="0">
      <pane ySplit="5" topLeftCell="A16" activePane="bottomLeft" state="frozen"/>
      <selection pane="bottomLeft" activeCell="G3" sqref="G3"/>
    </sheetView>
  </sheetViews>
  <sheetFormatPr defaultRowHeight="15" x14ac:dyDescent="0.25"/>
  <cols>
    <col min="1" max="1" width="29" customWidth="1"/>
    <col min="2" max="5" width="23" customWidth="1"/>
    <col min="6" max="6" width="7" customWidth="1"/>
    <col min="7" max="7" width="29" customWidth="1"/>
    <col min="8" max="11" width="23" customWidth="1"/>
    <col min="13" max="13" width="14.5703125" bestFit="1" customWidth="1"/>
    <col min="14" max="14" width="47.42578125" bestFit="1" customWidth="1"/>
    <col min="16" max="16" width="11.7109375" customWidth="1"/>
    <col min="20" max="20" width="13.85546875" bestFit="1" customWidth="1"/>
  </cols>
  <sheetData>
    <row r="1" spans="1:20" ht="18.75" customHeight="1" x14ac:dyDescent="0.3">
      <c r="A1" s="1" t="s">
        <v>233</v>
      </c>
    </row>
    <row r="2" spans="1:20" ht="45" customHeight="1" x14ac:dyDescent="0.25">
      <c r="A2" s="2" t="s">
        <v>234</v>
      </c>
    </row>
    <row r="3" spans="1:20" ht="60" customHeight="1" x14ac:dyDescent="0.25">
      <c r="A3" s="2" t="s">
        <v>235</v>
      </c>
    </row>
    <row r="4" spans="1:20" ht="75" customHeight="1" x14ac:dyDescent="0.25">
      <c r="A4" s="14" t="s">
        <v>236</v>
      </c>
    </row>
    <row r="5" spans="1:20" x14ac:dyDescent="0.25">
      <c r="A5" s="6" t="s">
        <v>237</v>
      </c>
    </row>
    <row r="6" spans="1:20" x14ac:dyDescent="0.25">
      <c r="A6" s="6" t="s">
        <v>52</v>
      </c>
      <c r="G6" s="6" t="s">
        <v>55</v>
      </c>
    </row>
    <row r="7" spans="1:20" ht="45" customHeight="1" x14ac:dyDescent="0.25">
      <c r="A7" s="3" t="s">
        <v>215</v>
      </c>
      <c r="B7" s="11" t="s">
        <v>6</v>
      </c>
      <c r="C7" s="11" t="s">
        <v>7</v>
      </c>
      <c r="D7" s="11" t="s">
        <v>8</v>
      </c>
      <c r="E7" s="11" t="s">
        <v>9</v>
      </c>
      <c r="G7" s="3" t="s">
        <v>215</v>
      </c>
      <c r="H7" s="11" t="s">
        <v>6</v>
      </c>
      <c r="I7" s="11" t="s">
        <v>7</v>
      </c>
      <c r="J7" s="11" t="s">
        <v>8</v>
      </c>
      <c r="K7" s="11" t="s">
        <v>9</v>
      </c>
      <c r="M7" s="3" t="s">
        <v>48</v>
      </c>
      <c r="N7" s="3" t="s">
        <v>49</v>
      </c>
      <c r="O7" s="3" t="s">
        <v>38</v>
      </c>
      <c r="P7" s="3" t="s">
        <v>26</v>
      </c>
      <c r="Q7" s="3" t="s">
        <v>39</v>
      </c>
      <c r="R7" s="3" t="s">
        <v>40</v>
      </c>
      <c r="S7" s="3" t="s">
        <v>50</v>
      </c>
      <c r="T7" s="3" t="s">
        <v>238</v>
      </c>
    </row>
    <row r="8" spans="1:20" ht="30" customHeight="1" x14ac:dyDescent="0.25">
      <c r="A8" s="3" t="s">
        <v>6</v>
      </c>
      <c r="B8" s="12" t="str">
        <f>HvH_40000!B8</f>
        <v>51.3% [49.3%, 53.2%]</v>
      </c>
      <c r="C8" s="12" t="str">
        <f>HvH_40000!C8</f>
        <v>15.1% [14.1%, 16.1%]</v>
      </c>
      <c r="D8" s="12" t="str">
        <f>HvH_40000!D8</f>
        <v>26.5% [25.2%, 27.7%]</v>
      </c>
      <c r="E8" s="12" t="str">
        <f>HvH_40000!E8</f>
        <v>16.3% [15.3%, 17.4%]</v>
      </c>
      <c r="G8" s="3" t="s">
        <v>6</v>
      </c>
      <c r="H8" s="12" t="str">
        <f>BC_initial_8000!B8</f>
        <v>48.8% [44.6%, 53.1%]</v>
      </c>
      <c r="I8" s="12" t="str">
        <f>BC_initial_8000!C8</f>
        <v>13.8% [11.2%, 16.8%]</v>
      </c>
      <c r="J8" s="12" t="str">
        <f>BC_initial_8000!D8</f>
        <v>23.6% [19.9%, 27.8%]</v>
      </c>
      <c r="K8" s="12" t="str">
        <f>BC_initial_8000!E8</f>
        <v>17.0% [13.8%, 20.8%]</v>
      </c>
      <c r="M8" t="s">
        <v>52</v>
      </c>
      <c r="N8" t="s">
        <v>53</v>
      </c>
      <c r="O8" s="5">
        <v>40000</v>
      </c>
      <c r="Q8" s="5">
        <v>40000</v>
      </c>
      <c r="R8" s="5">
        <v>0</v>
      </c>
    </row>
    <row r="9" spans="1:20" ht="30" customHeight="1" x14ac:dyDescent="0.25">
      <c r="A9" s="3" t="s">
        <v>7</v>
      </c>
      <c r="B9" s="12" t="str">
        <f>HvH_40000!B9</f>
        <v>84.9% [83.9%, 85.9%]</v>
      </c>
      <c r="C9" s="12" t="str">
        <f>HvH_40000!C9</f>
        <v>50.9% [48.9%, 52.8%]</v>
      </c>
      <c r="D9" s="12" t="str">
        <f>HvH_40000!D9</f>
        <v>66.2% [64.9%, 67.5%]</v>
      </c>
      <c r="E9" s="12" t="str">
        <f>HvH_40000!E9</f>
        <v>51.0% [49.6%, 52.4%]</v>
      </c>
      <c r="G9" s="3" t="s">
        <v>7</v>
      </c>
      <c r="H9" s="12" t="str">
        <f>BC_initial_8000!B9</f>
        <v>80.7% [77.3%, 83.7%]</v>
      </c>
      <c r="I9" s="12" t="str">
        <f>BC_initial_8000!C9</f>
        <v>34.4% [29.6%, 39.6%]</v>
      </c>
      <c r="J9" s="12" t="str">
        <f>BC_initial_8000!D9</f>
        <v>57.7% [53.5%, 61.9%]</v>
      </c>
      <c r="K9" s="12" t="str">
        <f>BC_initial_8000!E9</f>
        <v>35.4% [31.5%, 39.4%]</v>
      </c>
      <c r="M9" t="s">
        <v>55</v>
      </c>
      <c r="N9" t="s">
        <v>0</v>
      </c>
      <c r="O9" s="5">
        <v>8000</v>
      </c>
      <c r="P9" s="5">
        <v>3248</v>
      </c>
      <c r="Q9" s="5">
        <v>7991</v>
      </c>
      <c r="R9" s="5">
        <v>9</v>
      </c>
      <c r="S9" s="4">
        <v>0.40600000000000003</v>
      </c>
      <c r="T9" s="4" t="s">
        <v>239</v>
      </c>
    </row>
    <row r="10" spans="1:20" ht="30" customHeight="1" x14ac:dyDescent="0.25">
      <c r="A10" s="3" t="s">
        <v>8</v>
      </c>
      <c r="B10" s="12" t="str">
        <f>HvH_40000!B10</f>
        <v>73.5% [72.3%, 74.8%]</v>
      </c>
      <c r="C10" s="12" t="str">
        <f>HvH_40000!C10</f>
        <v>33.8% [32.5%, 35.1%]</v>
      </c>
      <c r="D10" s="12" t="str">
        <f>HvH_40000!D10</f>
        <v>51.6% [49.6%, 53.6%]</v>
      </c>
      <c r="E10" s="12" t="str">
        <f>HvH_40000!E10</f>
        <v>32.2% [31.0%, 33.4%]</v>
      </c>
      <c r="G10" s="3" t="s">
        <v>8</v>
      </c>
      <c r="H10" s="12" t="str">
        <f>BC_initial_8000!B10</f>
        <v>53.6% [49.0%, 58.2%]</v>
      </c>
      <c r="I10" s="12" t="str">
        <f>BC_initial_8000!C10</f>
        <v>18.1% [15.1%, 21.6%]</v>
      </c>
      <c r="J10" s="12" t="str">
        <f>BC_initial_8000!D10</f>
        <v>16.7% [13.2%, 20.9%]</v>
      </c>
      <c r="K10" s="12" t="str">
        <f>BC_initial_8000!E10</f>
        <v>14.9% [12.3%, 18.0%]</v>
      </c>
      <c r="M10" t="s">
        <v>69</v>
      </c>
      <c r="N10" t="s">
        <v>70</v>
      </c>
      <c r="O10" s="5">
        <v>8000</v>
      </c>
      <c r="P10" s="5">
        <v>4091</v>
      </c>
      <c r="Q10" s="5">
        <v>7993</v>
      </c>
      <c r="R10" s="5">
        <v>7</v>
      </c>
      <c r="S10" s="4">
        <v>0.51137500000000002</v>
      </c>
      <c r="T10" s="4" t="s">
        <v>240</v>
      </c>
    </row>
    <row r="11" spans="1:20" ht="30" customHeight="1" x14ac:dyDescent="0.25">
      <c r="A11" s="3" t="s">
        <v>9</v>
      </c>
      <c r="B11" s="12" t="str">
        <f>HvH_40000!B11</f>
        <v>83.7% [82.6%, 84.7%]</v>
      </c>
      <c r="C11" s="12" t="str">
        <f>HvH_40000!C11</f>
        <v>49.0% [47.6%, 50.4%]</v>
      </c>
      <c r="D11" s="12" t="str">
        <f>HvH_40000!D11</f>
        <v>67.8% [66.6%, 69.0%]</v>
      </c>
      <c r="E11" s="12" t="str">
        <f>HvH_40000!E11</f>
        <v>52.8% [50.9%, 54.7%]</v>
      </c>
      <c r="G11" s="3" t="s">
        <v>9</v>
      </c>
      <c r="H11" s="12" t="str">
        <f>BC_initial_8000!B11</f>
        <v>81.4% [77.5%, 84.7%]</v>
      </c>
      <c r="I11" s="12" t="str">
        <f>BC_initial_8000!C11</f>
        <v>42.3% [38.3%, 46.5%]</v>
      </c>
      <c r="J11" s="12" t="str">
        <f>BC_initial_8000!D11</f>
        <v>65.2% [61.4%, 68.9%]</v>
      </c>
      <c r="K11" s="12" t="str">
        <f>BC_initial_8000!E11</f>
        <v>37.0% [32.7%, 41.5%]</v>
      </c>
      <c r="M11" t="s">
        <v>72</v>
      </c>
      <c r="N11" t="s">
        <v>73</v>
      </c>
      <c r="O11" s="5">
        <v>8000</v>
      </c>
      <c r="P11" s="5">
        <v>4051</v>
      </c>
      <c r="Q11" s="5">
        <v>7991</v>
      </c>
      <c r="R11" s="5">
        <v>9</v>
      </c>
      <c r="S11" s="4">
        <v>0.50637500000000002</v>
      </c>
      <c r="T11" s="4" t="s">
        <v>241</v>
      </c>
    </row>
    <row r="12" spans="1:20" x14ac:dyDescent="0.25">
      <c r="O12" s="15"/>
      <c r="P12" s="15"/>
      <c r="Q12" s="15"/>
      <c r="R12" s="15"/>
      <c r="S12" s="16"/>
    </row>
    <row r="13" spans="1:20" x14ac:dyDescent="0.25">
      <c r="A13" s="6" t="s">
        <v>69</v>
      </c>
      <c r="G13" s="6" t="s">
        <v>72</v>
      </c>
      <c r="O13" s="15"/>
      <c r="P13" s="15"/>
      <c r="Q13" s="15"/>
      <c r="R13" s="15"/>
      <c r="S13" s="16"/>
    </row>
    <row r="14" spans="1:20" x14ac:dyDescent="0.25">
      <c r="A14" s="3" t="s">
        <v>215</v>
      </c>
      <c r="B14" s="11" t="s">
        <v>6</v>
      </c>
      <c r="C14" s="11" t="s">
        <v>7</v>
      </c>
      <c r="D14" s="11" t="s">
        <v>8</v>
      </c>
      <c r="E14" s="11" t="s">
        <v>9</v>
      </c>
      <c r="G14" s="3" t="s">
        <v>215</v>
      </c>
      <c r="H14" s="11" t="s">
        <v>6</v>
      </c>
      <c r="I14" s="11" t="s">
        <v>7</v>
      </c>
      <c r="J14" s="11" t="s">
        <v>8</v>
      </c>
      <c r="K14" s="11" t="s">
        <v>9</v>
      </c>
    </row>
    <row r="15" spans="1:20" ht="30" customHeight="1" x14ac:dyDescent="0.25">
      <c r="A15" s="3" t="s">
        <v>6</v>
      </c>
      <c r="B15" s="12" t="str">
        <f>RL_iter30!B8</f>
        <v>55.8% [51.4%, 60.1%]</v>
      </c>
      <c r="C15" s="12" t="str">
        <f>RL_iter30!C8</f>
        <v>25.8% [22.2%, 29.8%]</v>
      </c>
      <c r="D15" s="12" t="str">
        <f>RL_iter30!D8</f>
        <v>28.6% [24.8%, 32.7%]</v>
      </c>
      <c r="E15" s="12" t="str">
        <f>RL_iter30!E8</f>
        <v>21.4% [18.0%, 25.2%]</v>
      </c>
      <c r="G15" s="3" t="s">
        <v>6</v>
      </c>
      <c r="H15" s="12" t="str">
        <f>RL_iter40!B8</f>
        <v>52.6% [48.2%, 56.9%]</v>
      </c>
      <c r="I15" s="12" t="str">
        <f>RL_iter40!C8</f>
        <v>20.2% [16.9%, 23.9%]</v>
      </c>
      <c r="J15" s="12" t="str">
        <f>RL_iter40!D8</f>
        <v>24.8% [21.2%, 28.8%]</v>
      </c>
      <c r="K15" s="12" t="str">
        <f>RL_iter40!E8</f>
        <v>22.4% [19.0%, 26.3%]</v>
      </c>
    </row>
    <row r="16" spans="1:20" ht="30" customHeight="1" x14ac:dyDescent="0.25">
      <c r="A16" s="3" t="s">
        <v>7</v>
      </c>
      <c r="B16" s="12" t="str">
        <f>RL_iter30!B9</f>
        <v>84.8% [81.4%, 87.7%]</v>
      </c>
      <c r="C16" s="12" t="str">
        <f>RL_iter30!C9</f>
        <v>49.4% [45.0%, 53.8%]</v>
      </c>
      <c r="D16" s="12" t="str">
        <f>RL_iter30!D9</f>
        <v>70.6% [66.5%, 74.4%]</v>
      </c>
      <c r="E16" s="12" t="str">
        <f>RL_iter30!E9</f>
        <v>47.8% [43.5%, 52.2%]</v>
      </c>
      <c r="G16" s="3" t="s">
        <v>7</v>
      </c>
      <c r="H16" s="12" t="str">
        <f>RL_iter40!B9</f>
        <v>84.0% [80.5%, 87.0%]</v>
      </c>
      <c r="I16" s="12" t="str">
        <f>RL_iter40!C9</f>
        <v>48.6% [44.2%, 53.0%]</v>
      </c>
      <c r="J16" s="12" t="str">
        <f>RL_iter40!D9</f>
        <v>69.8% [65.6%, 73.7%]</v>
      </c>
      <c r="K16" s="12" t="str">
        <f>RL_iter40!E9</f>
        <v>45.6% [41.3%, 50.0%]</v>
      </c>
    </row>
    <row r="17" spans="1:11" ht="30" customHeight="1" x14ac:dyDescent="0.25">
      <c r="A17" s="3" t="s">
        <v>8</v>
      </c>
      <c r="B17" s="12" t="str">
        <f>RL_iter30!B10</f>
        <v>76.4% [72.5%, 79.9%]</v>
      </c>
      <c r="C17" s="12" t="str">
        <f>RL_iter30!C10</f>
        <v>26.2% [22.5%, 30.2%]</v>
      </c>
      <c r="D17" s="12" t="str">
        <f>RL_iter30!D10</f>
        <v>35.2% [31.1%, 39.5%]</v>
      </c>
      <c r="E17" s="12" t="str">
        <f>RL_iter30!E10</f>
        <v>34.4% [30.4%, 38.7%]</v>
      </c>
      <c r="G17" s="3" t="s">
        <v>8</v>
      </c>
      <c r="H17" s="12" t="str">
        <f>RL_iter40!B10</f>
        <v>80.8% [77.1%, 84.0%]</v>
      </c>
      <c r="I17" s="12" t="str">
        <f>RL_iter40!C10</f>
        <v>26.4% [22.7%, 30.4%]</v>
      </c>
      <c r="J17" s="12" t="str">
        <f>RL_iter40!D10</f>
        <v>38.8% [34.6%, 43.1%]</v>
      </c>
      <c r="K17" s="12" t="str">
        <f>RL_iter40!E10</f>
        <v>40.2% [36.0%, 44.6%]</v>
      </c>
    </row>
    <row r="18" spans="1:11" ht="30" customHeight="1" x14ac:dyDescent="0.25">
      <c r="A18" s="3" t="s">
        <v>9</v>
      </c>
      <c r="B18" s="12" t="str">
        <f>RL_iter30!B11</f>
        <v>90.4% [87.5%, 92.7%]</v>
      </c>
      <c r="C18" s="12" t="str">
        <f>RL_iter30!C11</f>
        <v>48.6% [44.2%, 53.0%]</v>
      </c>
      <c r="D18" s="12" t="str">
        <f>RL_iter30!D11</f>
        <v>72.2% [68.1%, 75.9%]</v>
      </c>
      <c r="E18" s="12" t="str">
        <f>RL_iter30!E11</f>
        <v>50.6% [46.2%, 55.0%]</v>
      </c>
      <c r="G18" s="3" t="s">
        <v>9</v>
      </c>
      <c r="H18" s="12" t="str">
        <f>RL_iter40!B11</f>
        <v>88.8% [85.7%, 91.3%]</v>
      </c>
      <c r="I18" s="12" t="str">
        <f>RL_iter40!C11</f>
        <v>43.2% [38.9%, 47.6%]</v>
      </c>
      <c r="J18" s="12" t="str">
        <f>RL_iter40!D11</f>
        <v>73.8% [69.8%, 77.5%]</v>
      </c>
      <c r="K18" s="12" t="str">
        <f>RL_iter40!E11</f>
        <v>50.2% [45.8%, 54.6%]</v>
      </c>
    </row>
    <row r="20" spans="1:11" x14ac:dyDescent="0.25">
      <c r="A20" s="6" t="s">
        <v>242</v>
      </c>
    </row>
    <row r="21" spans="1:11" x14ac:dyDescent="0.25">
      <c r="A21" s="17" t="s">
        <v>213</v>
      </c>
      <c r="G21" t="s">
        <v>214</v>
      </c>
    </row>
    <row r="22" spans="1:11" x14ac:dyDescent="0.25">
      <c r="A22" s="3" t="s">
        <v>215</v>
      </c>
      <c r="B22" s="11" t="s">
        <v>6</v>
      </c>
      <c r="C22" s="11" t="s">
        <v>7</v>
      </c>
      <c r="D22" s="11" t="s">
        <v>8</v>
      </c>
      <c r="E22" s="11" t="s">
        <v>9</v>
      </c>
      <c r="G22" s="3" t="s">
        <v>215</v>
      </c>
      <c r="H22" s="11" t="s">
        <v>6</v>
      </c>
      <c r="I22" s="11" t="s">
        <v>7</v>
      </c>
      <c r="J22" s="11" t="s">
        <v>8</v>
      </c>
      <c r="K22" s="11" t="s">
        <v>9</v>
      </c>
    </row>
    <row r="23" spans="1:11" ht="20.100000000000001" customHeight="1" x14ac:dyDescent="0.25">
      <c r="A23" s="3" t="s">
        <v>6</v>
      </c>
      <c r="B23" s="13">
        <f>_xlfn.NUMBERVALUE(_xlfn.TEXTBEFORE(RL_iter30!B8, "%"))/100-50/100</f>
        <v>5.799999999999994E-2</v>
      </c>
      <c r="C23" s="13">
        <f>_xlfn.NUMBERVALUE(_xlfn.TEXTBEFORE(RL_iter30!C8, "%"))/100-_xlfn.SINGLE(_xlfn.NUMBERVALUE(_xlfn.TEXTBEFORE(HvH_40000!C8, "%")))/100</f>
        <v>0.10700000000000001</v>
      </c>
      <c r="D23" s="13">
        <f>_xlfn.SINGLE(_xlfn.NUMBERVALUE(_xlfn.TEXTBEFORE(RL_iter30!D8, "%")))/100-_xlfn.SINGLE(_xlfn.NUMBERVALUE(_xlfn.TEXTBEFORE(HvH_40000!D8, "%")))/100</f>
        <v>2.1000000000000019E-2</v>
      </c>
      <c r="E23" s="13">
        <f>_xlfn.SINGLE(_xlfn.NUMBERVALUE(_xlfn.TEXTBEFORE(RL_iter30!E8, "%")))/100-_xlfn.SINGLE(_xlfn.NUMBERVALUE(_xlfn.TEXTBEFORE(HvH_40000!E8, "%")))/100</f>
        <v>5.099999999999999E-2</v>
      </c>
      <c r="G23" s="3" t="s">
        <v>6</v>
      </c>
      <c r="H23" s="13">
        <f>_xlfn.SINGLE(_xlfn.NUMBERVALUE(_xlfn.TEXTBEFORE(RL_iter30!B8, "%")))/100-_xlfn.SINGLE(_xlfn.NUMBERVALUE(_xlfn.TEXTBEFORE(BC_initial_8000!B8, "%")))/100</f>
        <v>6.9999999999999951E-2</v>
      </c>
      <c r="I23" s="13">
        <f>_xlfn.SINGLE(_xlfn.NUMBERVALUE(_xlfn.TEXTBEFORE(RL_iter30!C8, "%")))/100-_xlfn.SINGLE(_xlfn.NUMBERVALUE(_xlfn.TEXTBEFORE(BC_initial_8000!C8, "%")))/100</f>
        <v>0.12</v>
      </c>
      <c r="J23" s="13">
        <f>_xlfn.SINGLE(_xlfn.NUMBERVALUE(_xlfn.TEXTBEFORE(RL_iter30!D8, "%")))/100-_xlfn.SINGLE(_xlfn.NUMBERVALUE(_xlfn.TEXTBEFORE(BC_initial_8000!D8, "%")))/100</f>
        <v>5.0000000000000017E-2</v>
      </c>
      <c r="K23" s="13">
        <f>_xlfn.SINGLE(_xlfn.NUMBERVALUE(_xlfn.TEXTBEFORE(RL_iter30!E8, "%")))/100-_xlfn.SINGLE(_xlfn.NUMBERVALUE(_xlfn.TEXTBEFORE(BC_initial_8000!E8, "%")))/100</f>
        <v>4.3999999999999984E-2</v>
      </c>
    </row>
    <row r="24" spans="1:11" ht="20.100000000000001" customHeight="1" x14ac:dyDescent="0.25">
      <c r="A24" s="3" t="s">
        <v>7</v>
      </c>
      <c r="B24" s="13">
        <f>_xlfn.NUMBERVALUE(_xlfn.TEXTBEFORE(RL_iter30!B9, "%"))/100-_xlfn.NUMBERVALUE(_xlfn.TEXTBEFORE(HvH_40000!B9, "%"))/100</f>
        <v>-1.0000000000001119E-3</v>
      </c>
      <c r="C24" s="13">
        <f>_xlfn.SINGLE(_xlfn.NUMBERVALUE(_xlfn.TEXTBEFORE(RL_iter30!C9, "%")))/100-50/100</f>
        <v>-6.0000000000000053E-3</v>
      </c>
      <c r="D24" s="13">
        <f>_xlfn.SINGLE(_xlfn.NUMBERVALUE(_xlfn.TEXTBEFORE(RL_iter30!D9, "%")))/100-_xlfn.SINGLE(_xlfn.NUMBERVALUE(_xlfn.TEXTBEFORE(HvH_40000!D9, "%")))/100</f>
        <v>4.3999999999999928E-2</v>
      </c>
      <c r="E24" s="13">
        <f>_xlfn.SINGLE(_xlfn.NUMBERVALUE(_xlfn.TEXTBEFORE(RL_iter30!E9, "%")))/100-_xlfn.SINGLE(_xlfn.NUMBERVALUE(_xlfn.TEXTBEFORE(HvH_40000!E9, "%")))/100</f>
        <v>-3.2000000000000028E-2</v>
      </c>
      <c r="G24" s="3" t="s">
        <v>7</v>
      </c>
      <c r="H24" s="13">
        <f>_xlfn.SINGLE(_xlfn.NUMBERVALUE(_xlfn.TEXTBEFORE(RL_iter30!B9, "%")))/100-_xlfn.SINGLE(_xlfn.NUMBERVALUE(_xlfn.TEXTBEFORE(BC_initial_8000!B9, "%")))/100</f>
        <v>4.0999999999999925E-2</v>
      </c>
      <c r="I24" s="13">
        <f>_xlfn.SINGLE(_xlfn.NUMBERVALUE(_xlfn.TEXTBEFORE(RL_iter30!C9, "%")))/100-_xlfn.SINGLE(_xlfn.NUMBERVALUE(_xlfn.TEXTBEFORE(BC_initial_8000!C9, "%")))/100</f>
        <v>0.15000000000000002</v>
      </c>
      <c r="J24" s="13">
        <f>_xlfn.SINGLE(_xlfn.NUMBERVALUE(_xlfn.TEXTBEFORE(RL_iter30!D9, "%")))/100-_xlfn.SINGLE(_xlfn.NUMBERVALUE(_xlfn.TEXTBEFORE(BC_initial_8000!D9, "%")))/100</f>
        <v>0.12899999999999989</v>
      </c>
      <c r="K24" s="13">
        <f>_xlfn.SINGLE(_xlfn.NUMBERVALUE(_xlfn.TEXTBEFORE(RL_iter30!E9, "%")))/100-_xlfn.SINGLE(_xlfn.NUMBERVALUE(_xlfn.TEXTBEFORE(BC_initial_8000!E9, "%")))/100</f>
        <v>0.124</v>
      </c>
    </row>
    <row r="25" spans="1:11" ht="20.100000000000001" customHeight="1" x14ac:dyDescent="0.25">
      <c r="A25" s="3" t="s">
        <v>8</v>
      </c>
      <c r="B25" s="13">
        <f>_xlfn.NUMBERVALUE(_xlfn.TEXTBEFORE(RL_iter30!B10, "%"))/100-_xlfn.NUMBERVALUE(_xlfn.TEXTBEFORE(HvH_40000!B10, "%"))/100</f>
        <v>2.9000000000000026E-2</v>
      </c>
      <c r="C25" s="13">
        <f>_xlfn.SINGLE(_xlfn.NUMBERVALUE(_xlfn.TEXTBEFORE(RL_iter30!C10, "%")))/100-_xlfn.SINGLE(_xlfn.NUMBERVALUE(_xlfn.TEXTBEFORE(HvH_40000!C10, "%")))/100</f>
        <v>-7.5999999999999956E-2</v>
      </c>
      <c r="D25" s="13">
        <f>_xlfn.SINGLE(_xlfn.NUMBERVALUE(_xlfn.TEXTBEFORE(RL_iter30!D10, "%")))/100-50/100</f>
        <v>-0.14799999999999996</v>
      </c>
      <c r="E25" s="13">
        <f>_xlfn.SINGLE(_xlfn.NUMBERVALUE(_xlfn.TEXTBEFORE(RL_iter30!E10, "%")))/100-_xlfn.SINGLE(_xlfn.NUMBERVALUE(_xlfn.TEXTBEFORE(HvH_40000!E10, "%")))/100</f>
        <v>2.1999999999999964E-2</v>
      </c>
      <c r="G25" s="3" t="s">
        <v>8</v>
      </c>
      <c r="H25" s="13">
        <f>_xlfn.SINGLE(_xlfn.NUMBERVALUE(_xlfn.TEXTBEFORE(RL_iter30!B10, "%")))/100-_xlfn.SINGLE(_xlfn.NUMBERVALUE(_xlfn.TEXTBEFORE(BC_initial_8000!B10, "%")))/100</f>
        <v>0.22799999999999998</v>
      </c>
      <c r="I25" s="13">
        <f>_xlfn.SINGLE(_xlfn.NUMBERVALUE(_xlfn.TEXTBEFORE(RL_iter30!C10, "%")))/100-_xlfn.SINGLE(_xlfn.NUMBERVALUE(_xlfn.TEXTBEFORE(BC_initial_8000!C10, "%")))/100</f>
        <v>8.0999999999999989E-2</v>
      </c>
      <c r="J25" s="13">
        <f>_xlfn.SINGLE(_xlfn.NUMBERVALUE(_xlfn.TEXTBEFORE(RL_iter30!D10, "%")))/100-_xlfn.SINGLE(_xlfn.NUMBERVALUE(_xlfn.TEXTBEFORE(BC_initial_8000!D10, "%")))/100</f>
        <v>0.18500000000000005</v>
      </c>
      <c r="K25" s="13">
        <f>_xlfn.SINGLE(_xlfn.NUMBERVALUE(_xlfn.TEXTBEFORE(RL_iter30!E10, "%")))/100-_xlfn.SINGLE(_xlfn.NUMBERVALUE(_xlfn.TEXTBEFORE(BC_initial_8000!E10, "%")))/100</f>
        <v>0.19499999999999998</v>
      </c>
    </row>
    <row r="26" spans="1:11" ht="20.100000000000001" customHeight="1" x14ac:dyDescent="0.25">
      <c r="A26" s="3" t="s">
        <v>9</v>
      </c>
      <c r="B26" s="13">
        <f>_xlfn.SINGLE(_xlfn.NUMBERVALUE(_xlfn.TEXTBEFORE(RL_iter30!B11, "%")))/100-_xlfn.SINGLE(_xlfn.NUMBERVALUE(_xlfn.TEXTBEFORE(HvH_40000!B11, "%")))/100</f>
        <v>6.6999999999999948E-2</v>
      </c>
      <c r="C26" s="13">
        <f>_xlfn.SINGLE(_xlfn.NUMBERVALUE(_xlfn.TEXTBEFORE(RL_iter30!C11, "%")))/100-_xlfn.SINGLE(_xlfn.NUMBERVALUE(_xlfn.TEXTBEFORE(HvH_40000!C11, "%")))/100</f>
        <v>-4.0000000000000036E-3</v>
      </c>
      <c r="D26" s="13">
        <f>_xlfn.SINGLE(_xlfn.NUMBERVALUE(_xlfn.TEXTBEFORE(RL_iter30!D11, "%")))/100-_xlfn.SINGLE(_xlfn.NUMBERVALUE(_xlfn.TEXTBEFORE(HvH_40000!D11, "%")))/100</f>
        <v>4.4000000000000039E-2</v>
      </c>
      <c r="E26" s="13">
        <f>_xlfn.SINGLE(_xlfn.NUMBERVALUE(_xlfn.TEXTBEFORE(RL_iter30!E11, "%")))/100-50/100</f>
        <v>6.0000000000000053E-3</v>
      </c>
      <c r="G26" s="3" t="s">
        <v>9</v>
      </c>
      <c r="H26" s="13">
        <f>_xlfn.SINGLE(_xlfn.NUMBERVALUE(_xlfn.TEXTBEFORE(RL_iter30!B11, "%")))/100-_xlfn.SINGLE(_xlfn.NUMBERVALUE(_xlfn.TEXTBEFORE(BC_initial_8000!B11, "%")))/100</f>
        <v>8.9999999999999969E-2</v>
      </c>
      <c r="I26" s="13">
        <f>_xlfn.SINGLE(_xlfn.NUMBERVALUE(_xlfn.TEXTBEFORE(RL_iter30!C11, "%")))/100-_xlfn.SINGLE(_xlfn.NUMBERVALUE(_xlfn.TEXTBEFORE(BC_initial_8000!C11, "%")))/100</f>
        <v>6.3E-2</v>
      </c>
      <c r="J26" s="13">
        <f>_xlfn.SINGLE(_xlfn.NUMBERVALUE(_xlfn.TEXTBEFORE(RL_iter30!D11, "%")))/100-_xlfn.SINGLE(_xlfn.NUMBERVALUE(_xlfn.TEXTBEFORE(BC_initial_8000!D11, "%")))/100</f>
        <v>6.9999999999999951E-2</v>
      </c>
      <c r="K26" s="13">
        <f>_xlfn.SINGLE(_xlfn.NUMBERVALUE(_xlfn.TEXTBEFORE(RL_iter30!E11, "%")))/100-_xlfn.SINGLE(_xlfn.NUMBERVALUE(_xlfn.TEXTBEFORE(BC_initial_8000!E11, "%")))/100</f>
        <v>0.13600000000000001</v>
      </c>
    </row>
    <row r="28" spans="1:11" x14ac:dyDescent="0.25">
      <c r="A28" s="6" t="s">
        <v>222</v>
      </c>
      <c r="G28" t="s">
        <v>223</v>
      </c>
    </row>
    <row r="29" spans="1:11" x14ac:dyDescent="0.25">
      <c r="A29" s="3" t="s">
        <v>215</v>
      </c>
      <c r="B29" s="11" t="s">
        <v>6</v>
      </c>
      <c r="C29" s="11" t="s">
        <v>7</v>
      </c>
      <c r="D29" s="11" t="s">
        <v>8</v>
      </c>
      <c r="E29" s="11" t="s">
        <v>9</v>
      </c>
      <c r="G29" s="3" t="s">
        <v>215</v>
      </c>
      <c r="H29" s="11" t="s">
        <v>6</v>
      </c>
      <c r="I29" s="11" t="s">
        <v>7</v>
      </c>
      <c r="J29" s="11" t="s">
        <v>8</v>
      </c>
      <c r="K29" s="11" t="s">
        <v>9</v>
      </c>
    </row>
    <row r="30" spans="1:11" ht="20.100000000000001" customHeight="1" x14ac:dyDescent="0.25">
      <c r="A30" s="3" t="s">
        <v>6</v>
      </c>
      <c r="B30" s="13">
        <f>_xlfn.SINGLE(_xlfn.NUMBERVALUE(_xlfn.TEXTBEFORE(RL_iter40!B8, "%")))/100-50/100</f>
        <v>2.6000000000000023E-2</v>
      </c>
      <c r="C30" s="13">
        <f>_xlfn.SINGLE(_xlfn.NUMBERVALUE(_xlfn.TEXTBEFORE(RL_iter40!C8, "%")))/100-_xlfn.SINGLE(_xlfn.NUMBERVALUE(_xlfn.TEXTBEFORE(HvH_40000!C8, "%")))/100</f>
        <v>5.099999999999999E-2</v>
      </c>
      <c r="D30" s="13">
        <f>_xlfn.SINGLE(_xlfn.NUMBERVALUE(_xlfn.TEXTBEFORE(RL_iter40!D8, "%")))/100-_xlfn.SINGLE(_xlfn.NUMBERVALUE(_xlfn.TEXTBEFORE(HvH_40000!D8, "%")))/100</f>
        <v>-1.7000000000000015E-2</v>
      </c>
      <c r="E30" s="13">
        <f>_xlfn.SINGLE(_xlfn.NUMBERVALUE(_xlfn.TEXTBEFORE(RL_iter40!E8, "%")))/100-_xlfn.SINGLE(_xlfn.NUMBERVALUE(_xlfn.TEXTBEFORE(HvH_40000!E8, "%")))/100</f>
        <v>6.0999999999999971E-2</v>
      </c>
      <c r="G30" s="3" t="s">
        <v>6</v>
      </c>
      <c r="H30" s="13">
        <f>_xlfn.SINGLE(_xlfn.NUMBERVALUE(_xlfn.TEXTBEFORE(RL_iter40!B8, "%")))/100-_xlfn.SINGLE(_xlfn.NUMBERVALUE(_xlfn.TEXTBEFORE(BC_initial_8000!B8, "%")))/100</f>
        <v>3.8000000000000034E-2</v>
      </c>
      <c r="I30" s="13">
        <f>_xlfn.SINGLE(_xlfn.NUMBERVALUE(_xlfn.TEXTBEFORE(RL_iter40!C8, "%")))/100-_xlfn.SINGLE(_xlfn.NUMBERVALUE(_xlfn.TEXTBEFORE(BC_initial_8000!C8, "%")))/100</f>
        <v>6.3999999999999974E-2</v>
      </c>
      <c r="J30" s="13">
        <f>_xlfn.SINGLE(_xlfn.NUMBERVALUE(_xlfn.TEXTBEFORE(RL_iter40!D8, "%")))/100-_xlfn.SINGLE(_xlfn.NUMBERVALUE(_xlfn.TEXTBEFORE(BC_initial_8000!D8, "%")))/100</f>
        <v>1.1999999999999983E-2</v>
      </c>
      <c r="K30" s="13">
        <f>_xlfn.SINGLE(_xlfn.NUMBERVALUE(_xlfn.TEXTBEFORE(RL_iter40!E8, "%")))/100-_xlfn.SINGLE(_xlfn.NUMBERVALUE(_xlfn.TEXTBEFORE(BC_initial_8000!E8, "%")))/100</f>
        <v>5.3999999999999965E-2</v>
      </c>
    </row>
    <row r="31" spans="1:11" ht="20.100000000000001" customHeight="1" x14ac:dyDescent="0.25">
      <c r="A31" s="3" t="s">
        <v>7</v>
      </c>
      <c r="B31" s="13">
        <f>_xlfn.SINGLE(_xlfn.NUMBERVALUE(_xlfn.TEXTBEFORE(RL_iter40!B9, "%")))/100-_xlfn.SINGLE(_xlfn.NUMBERVALUE(_xlfn.TEXTBEFORE(HvH_40000!B9, "%")))/100</f>
        <v>-9.000000000000119E-3</v>
      </c>
      <c r="C31" s="13">
        <f>_xlfn.SINGLE(_xlfn.NUMBERVALUE(_xlfn.TEXTBEFORE(RL_iter40!C9, "%")))/100-50/100</f>
        <v>-1.4000000000000012E-2</v>
      </c>
      <c r="D31" s="13">
        <f>_xlfn.SINGLE(_xlfn.NUMBERVALUE(_xlfn.TEXTBEFORE(RL_iter40!D9, "%")))/100-_xlfn.SINGLE(_xlfn.NUMBERVALUE(_xlfn.TEXTBEFORE(HvH_40000!D9, "%")))/100</f>
        <v>3.5999999999999921E-2</v>
      </c>
      <c r="E31" s="13">
        <f>_xlfn.SINGLE(_xlfn.NUMBERVALUE(_xlfn.TEXTBEFORE(RL_iter40!E9, "%")))/100-_xlfn.SINGLE(_xlfn.NUMBERVALUE(_xlfn.TEXTBEFORE(HvH_40000!E9, "%")))/100</f>
        <v>-5.3999999999999992E-2</v>
      </c>
      <c r="G31" s="3" t="s">
        <v>7</v>
      </c>
      <c r="H31" s="13">
        <f>_xlfn.SINGLE(_xlfn.NUMBERVALUE(_xlfn.TEXTBEFORE(RL_iter40!B9, "%")))/100-_xlfn.SINGLE(_xlfn.NUMBERVALUE(_xlfn.TEXTBEFORE(BC_initial_8000!B9, "%")))/100</f>
        <v>3.2999999999999918E-2</v>
      </c>
      <c r="I31" s="13">
        <f>_xlfn.SINGLE(_xlfn.NUMBERVALUE(_xlfn.TEXTBEFORE(RL_iter40!C9, "%")))/100-_xlfn.SINGLE(_xlfn.NUMBERVALUE(_xlfn.TEXTBEFORE(BC_initial_8000!C9, "%")))/100</f>
        <v>0.14200000000000002</v>
      </c>
      <c r="J31" s="13">
        <f>_xlfn.SINGLE(_xlfn.NUMBERVALUE(_xlfn.TEXTBEFORE(RL_iter40!D9, "%")))/100-_xlfn.SINGLE(_xlfn.NUMBERVALUE(_xlfn.TEXTBEFORE(BC_initial_8000!D9, "%")))/100</f>
        <v>0.12099999999999989</v>
      </c>
      <c r="K31" s="13">
        <f>_xlfn.SINGLE(_xlfn.NUMBERVALUE(_xlfn.TEXTBEFORE(RL_iter40!E9, "%")))/100-_xlfn.SINGLE(_xlfn.NUMBERVALUE(_xlfn.TEXTBEFORE(BC_initial_8000!E9, "%")))/100</f>
        <v>0.10200000000000004</v>
      </c>
    </row>
    <row r="32" spans="1:11" ht="20.100000000000001" customHeight="1" x14ac:dyDescent="0.25">
      <c r="A32" s="3" t="s">
        <v>8</v>
      </c>
      <c r="B32" s="13">
        <f>_xlfn.SINGLE(_xlfn.NUMBERVALUE(_xlfn.TEXTBEFORE(RL_iter40!B10, "%")))/100-_xlfn.SINGLE(_xlfn.NUMBERVALUE(_xlfn.TEXTBEFORE(HvH_40000!B10, "%")))/100</f>
        <v>7.2999999999999954E-2</v>
      </c>
      <c r="C32" s="13">
        <f>_xlfn.SINGLE(_xlfn.NUMBERVALUE(_xlfn.TEXTBEFORE(RL_iter40!C10, "%")))/100-_xlfn.SINGLE(_xlfn.NUMBERVALUE(_xlfn.TEXTBEFORE(HvH_40000!C10, "%")))/100</f>
        <v>-7.3999999999999955E-2</v>
      </c>
      <c r="D32" s="13">
        <f>_xlfn.SINGLE(_xlfn.NUMBERVALUE(_xlfn.TEXTBEFORE(RL_iter40!D10, "%")))/100-50/100</f>
        <v>-0.11200000000000004</v>
      </c>
      <c r="E32" s="13">
        <f>_xlfn.SINGLE(_xlfn.NUMBERVALUE(_xlfn.TEXTBEFORE(RL_iter40!E10, "%")))/100-_xlfn.SINGLE(_xlfn.NUMBERVALUE(_xlfn.TEXTBEFORE(HvH_40000!E10, "%")))/100</f>
        <v>8.0000000000000016E-2</v>
      </c>
      <c r="G32" s="3" t="s">
        <v>8</v>
      </c>
      <c r="H32" s="13">
        <f>_xlfn.SINGLE(_xlfn.NUMBERVALUE(_xlfn.TEXTBEFORE(RL_iter40!B10, "%")))/100-_xlfn.SINGLE(_xlfn.NUMBERVALUE(_xlfn.TEXTBEFORE(BC_initial_8000!B10, "%")))/100</f>
        <v>0.27199999999999991</v>
      </c>
      <c r="I32" s="13">
        <f>_xlfn.SINGLE(_xlfn.NUMBERVALUE(_xlfn.TEXTBEFORE(RL_iter40!C10, "%")))/100-_xlfn.SINGLE(_xlfn.NUMBERVALUE(_xlfn.TEXTBEFORE(BC_initial_8000!C10, "%")))/100</f>
        <v>8.299999999999999E-2</v>
      </c>
      <c r="J32" s="13">
        <f>_xlfn.SINGLE(_xlfn.NUMBERVALUE(_xlfn.TEXTBEFORE(RL_iter40!D10, "%")))/100-_xlfn.SINGLE(_xlfn.NUMBERVALUE(_xlfn.TEXTBEFORE(BC_initial_8000!D10, "%")))/100</f>
        <v>0.22099999999999997</v>
      </c>
      <c r="K32" s="13">
        <f>_xlfn.SINGLE(_xlfn.NUMBERVALUE(_xlfn.TEXTBEFORE(RL_iter40!E10, "%")))/100-_xlfn.SINGLE(_xlfn.NUMBERVALUE(_xlfn.TEXTBEFORE(BC_initial_8000!E10, "%")))/100</f>
        <v>0.253</v>
      </c>
    </row>
    <row r="33" spans="1:11" ht="20.100000000000001" customHeight="1" x14ac:dyDescent="0.25">
      <c r="A33" s="3" t="s">
        <v>9</v>
      </c>
      <c r="B33" s="13">
        <f>_xlfn.SINGLE(_xlfn.NUMBERVALUE(_xlfn.TEXTBEFORE(RL_iter40!B11, "%")))/100-_xlfn.SINGLE(_xlfn.NUMBERVALUE(_xlfn.TEXTBEFORE(HvH_40000!B11, "%")))/100</f>
        <v>5.0999999999999934E-2</v>
      </c>
      <c r="C33" s="13">
        <f>_xlfn.SINGLE(_xlfn.NUMBERVALUE(_xlfn.TEXTBEFORE(RL_iter40!C11, "%")))/100-_xlfn.SINGLE(_xlfn.NUMBERVALUE(_xlfn.TEXTBEFORE(HvH_40000!C11, "%")))/100</f>
        <v>-5.799999999999994E-2</v>
      </c>
      <c r="D33" s="13">
        <f>_xlfn.SINGLE(_xlfn.NUMBERVALUE(_xlfn.TEXTBEFORE(RL_iter40!D11, "%")))/100-_xlfn.SINGLE(_xlfn.NUMBERVALUE(_xlfn.TEXTBEFORE(HvH_40000!D11, "%")))/100</f>
        <v>6.0000000000000053E-2</v>
      </c>
      <c r="E33" s="13">
        <f>_xlfn.SINGLE(_xlfn.NUMBERVALUE(_xlfn.TEXTBEFORE(RL_iter40!E11, "%")))/100-50/100</f>
        <v>2.0000000000000018E-3</v>
      </c>
      <c r="G33" s="3" t="s">
        <v>9</v>
      </c>
      <c r="H33" s="13">
        <f>_xlfn.SINGLE(_xlfn.NUMBERVALUE(_xlfn.TEXTBEFORE(RL_iter40!B11, "%")))/100-_xlfn.SINGLE(_xlfn.NUMBERVALUE(_xlfn.TEXTBEFORE(BC_initial_8000!B11, "%")))/100</f>
        <v>7.3999999999999955E-2</v>
      </c>
      <c r="I33" s="13">
        <f>_xlfn.SINGLE(_xlfn.NUMBERVALUE(_xlfn.TEXTBEFORE(RL_iter40!C11, "%")))/100-_xlfn.SINGLE(_xlfn.NUMBERVALUE(_xlfn.TEXTBEFORE(BC_initial_8000!C11, "%")))/100</f>
        <v>9.0000000000000635E-3</v>
      </c>
      <c r="J33" s="13">
        <f>_xlfn.SINGLE(_xlfn.NUMBERVALUE(_xlfn.TEXTBEFORE(RL_iter40!D11, "%")))/100-_xlfn.SINGLE(_xlfn.NUMBERVALUE(_xlfn.TEXTBEFORE(BC_initial_8000!D11, "%")))/100</f>
        <v>8.5999999999999965E-2</v>
      </c>
      <c r="K33" s="13">
        <f>_xlfn.SINGLE(_xlfn.NUMBERVALUE(_xlfn.TEXTBEFORE(RL_iter40!E11, "%")))/100-_xlfn.SINGLE(_xlfn.NUMBERVALUE(_xlfn.TEXTBEFORE(BC_initial_8000!E11, "%")))/100</f>
        <v>0.13200000000000001</v>
      </c>
    </row>
    <row r="35" spans="1:11" x14ac:dyDescent="0.25">
      <c r="A35" s="6" t="s">
        <v>230</v>
      </c>
    </row>
    <row r="36" spans="1:11" x14ac:dyDescent="0.25">
      <c r="A36" s="3" t="s">
        <v>215</v>
      </c>
      <c r="B36" s="11" t="s">
        <v>6</v>
      </c>
      <c r="C36" s="11" t="s">
        <v>7</v>
      </c>
      <c r="D36" s="11" t="s">
        <v>8</v>
      </c>
      <c r="E36" s="11" t="s">
        <v>9</v>
      </c>
    </row>
    <row r="37" spans="1:11" ht="20.100000000000001" customHeight="1" x14ac:dyDescent="0.25">
      <c r="A37" s="3" t="s">
        <v>6</v>
      </c>
      <c r="B37" s="13">
        <f>_xlfn.SINGLE(_xlfn.NUMBERVALUE(_xlfn.TEXTBEFORE(RL_iter40!B8, "%")))/100-_xlfn.SINGLE(_xlfn.NUMBERVALUE(_xlfn.TEXTBEFORE(RL_iter30!B8, "%")))/100</f>
        <v>-3.1999999999999917E-2</v>
      </c>
      <c r="C37" s="13">
        <f>_xlfn.SINGLE(_xlfn.NUMBERVALUE(_xlfn.TEXTBEFORE(RL_iter40!C8, "%")))/100-_xlfn.SINGLE(_xlfn.NUMBERVALUE(_xlfn.TEXTBEFORE(RL_iter30!C8, "%")))/100</f>
        <v>-5.6000000000000022E-2</v>
      </c>
      <c r="D37" s="13">
        <f>_xlfn.SINGLE(_xlfn.NUMBERVALUE(_xlfn.TEXTBEFORE(RL_iter40!D8, "%")))/100-_xlfn.SINGLE(_xlfn.NUMBERVALUE(_xlfn.TEXTBEFORE(RL_iter30!D8, "%")))/100</f>
        <v>-3.8000000000000034E-2</v>
      </c>
      <c r="E37" s="13">
        <f>_xlfn.SINGLE(_xlfn.NUMBERVALUE(_xlfn.TEXTBEFORE(RL_iter40!E8, "%")))/100-_xlfn.SINGLE(_xlfn.NUMBERVALUE(_xlfn.TEXTBEFORE(RL_iter30!E8, "%")))/100</f>
        <v>9.9999999999999811E-3</v>
      </c>
    </row>
    <row r="38" spans="1:11" ht="20.100000000000001" customHeight="1" x14ac:dyDescent="0.25">
      <c r="A38" s="3" t="s">
        <v>7</v>
      </c>
      <c r="B38" s="13">
        <f>_xlfn.SINGLE(_xlfn.NUMBERVALUE(_xlfn.TEXTBEFORE(RL_iter40!B9, "%")))/100-_xlfn.SINGLE(_xlfn.NUMBERVALUE(_xlfn.TEXTBEFORE(RL_iter30!B9, "%")))/100</f>
        <v>-8.0000000000000071E-3</v>
      </c>
      <c r="C38" s="13">
        <f>_xlfn.SINGLE(_xlfn.NUMBERVALUE(_xlfn.TEXTBEFORE(RL_iter40!C9, "%")))/100-_xlfn.SINGLE(_xlfn.NUMBERVALUE(_xlfn.TEXTBEFORE(RL_iter30!C9, "%")))/100</f>
        <v>-8.0000000000000071E-3</v>
      </c>
      <c r="D38" s="13">
        <f>_xlfn.SINGLE(_xlfn.NUMBERVALUE(_xlfn.TEXTBEFORE(RL_iter40!D9, "%")))/100-_xlfn.SINGLE(_xlfn.NUMBERVALUE(_xlfn.TEXTBEFORE(RL_iter30!D9, "%")))/100</f>
        <v>-8.0000000000000071E-3</v>
      </c>
      <c r="E38" s="13">
        <f>_xlfn.SINGLE(_xlfn.NUMBERVALUE(_xlfn.TEXTBEFORE(RL_iter40!E9, "%")))/100-_xlfn.SINGLE(_xlfn.NUMBERVALUE(_xlfn.TEXTBEFORE(RL_iter30!E9, "%")))/100</f>
        <v>-2.1999999999999964E-2</v>
      </c>
    </row>
    <row r="39" spans="1:11" ht="20.100000000000001" customHeight="1" x14ac:dyDescent="0.25">
      <c r="A39" s="3" t="s">
        <v>8</v>
      </c>
      <c r="B39" s="13">
        <f>_xlfn.SINGLE(_xlfn.NUMBERVALUE(_xlfn.TEXTBEFORE(RL_iter40!B10, "%")))/100-_xlfn.SINGLE(_xlfn.NUMBERVALUE(_xlfn.TEXTBEFORE(RL_iter30!B10, "%")))/100</f>
        <v>4.3999999999999928E-2</v>
      </c>
      <c r="C39" s="13">
        <f>_xlfn.SINGLE(_xlfn.NUMBERVALUE(_xlfn.TEXTBEFORE(RL_iter40!C10, "%")))/100-_xlfn.SINGLE(_xlfn.NUMBERVALUE(_xlfn.TEXTBEFORE(RL_iter30!C10, "%")))/100</f>
        <v>2.0000000000000018E-3</v>
      </c>
      <c r="D39" s="13">
        <f>_xlfn.SINGLE(_xlfn.NUMBERVALUE(_xlfn.TEXTBEFORE(RL_iter40!D10, "%")))/100-_xlfn.SINGLE(_xlfn.NUMBERVALUE(_xlfn.TEXTBEFORE(RL_iter30!D10, "%")))/100</f>
        <v>3.5999999999999921E-2</v>
      </c>
      <c r="E39" s="13">
        <f>_xlfn.SINGLE(_xlfn.NUMBERVALUE(_xlfn.TEXTBEFORE(RL_iter40!E10, "%")))/100-_xlfn.SINGLE(_xlfn.NUMBERVALUE(_xlfn.TEXTBEFORE(RL_iter30!E10, "%")))/100</f>
        <v>5.8000000000000052E-2</v>
      </c>
    </row>
    <row r="40" spans="1:11" ht="20.100000000000001" customHeight="1" x14ac:dyDescent="0.25">
      <c r="A40" s="3" t="s">
        <v>9</v>
      </c>
      <c r="B40" s="13">
        <f>_xlfn.SINGLE(_xlfn.NUMBERVALUE(_xlfn.TEXTBEFORE(RL_iter40!B11, "%")))/100-_xlfn.SINGLE(_xlfn.NUMBERVALUE(_xlfn.TEXTBEFORE(RL_iter30!B11, "%")))/100</f>
        <v>-1.6000000000000014E-2</v>
      </c>
      <c r="C40" s="13">
        <f>_xlfn.SINGLE(_xlfn.NUMBERVALUE(_xlfn.TEXTBEFORE(RL_iter40!C11, "%")))/100-_xlfn.SINGLE(_xlfn.NUMBERVALUE(_xlfn.TEXTBEFORE(RL_iter30!C11, "%")))/100</f>
        <v>-5.3999999999999937E-2</v>
      </c>
      <c r="D40" s="13">
        <f>_xlfn.SINGLE(_xlfn.NUMBERVALUE(_xlfn.TEXTBEFORE(RL_iter40!D11, "%")))/100-_xlfn.SINGLE(_xlfn.NUMBERVALUE(_xlfn.TEXTBEFORE(RL_iter30!D11, "%")))/100</f>
        <v>1.6000000000000014E-2</v>
      </c>
      <c r="E40" s="13">
        <f>_xlfn.SINGLE(_xlfn.NUMBERVALUE(_xlfn.TEXTBEFORE(RL_iter40!E11, "%")))/100-_xlfn.SINGLE(_xlfn.NUMBERVALUE(_xlfn.TEXTBEFORE(RL_iter30!E11, "%")))/100</f>
        <v>-4.0000000000000036E-3</v>
      </c>
    </row>
    <row r="42" spans="1:11" x14ac:dyDescent="0.25">
      <c r="A42" s="6" t="s">
        <v>243</v>
      </c>
    </row>
    <row r="43" spans="1:11" ht="60" x14ac:dyDescent="0.25">
      <c r="A43" s="11" t="s">
        <v>49</v>
      </c>
      <c r="B43" s="11" t="s">
        <v>38</v>
      </c>
      <c r="C43" s="11" t="s">
        <v>244</v>
      </c>
      <c r="D43" s="11" t="s">
        <v>40</v>
      </c>
      <c r="E43" s="11" t="s">
        <v>42</v>
      </c>
      <c r="F43" s="11" t="s">
        <v>43</v>
      </c>
      <c r="G43" s="11" t="s">
        <v>44</v>
      </c>
      <c r="H43" s="11" t="s">
        <v>245</v>
      </c>
    </row>
    <row r="44" spans="1:11" ht="30" x14ac:dyDescent="0.25">
      <c r="A44" s="18" t="str">
        <f>README!A6</f>
        <v>HvH_40000</v>
      </c>
      <c r="B44" s="18">
        <f>README!C6</f>
        <v>40000</v>
      </c>
      <c r="C44" s="19" t="str">
        <f>IF(README!D6="","",README!D6)</f>
        <v/>
      </c>
      <c r="D44" s="18">
        <f>README!F6</f>
        <v>0</v>
      </c>
      <c r="E44" s="20" t="str">
        <f>IF(C44="","",C44/B44)</f>
        <v/>
      </c>
      <c r="F44" s="20" t="str">
        <f>IF(E44="","",(E44+1.96^2/(2*B44)-1.96*SQRT(E44*(1-E44)/B44+1.96^2/(4*B44^2)))/(1+1.96^2/B44))</f>
        <v/>
      </c>
      <c r="G44" s="21" t="str">
        <f>IF(E44="","",(E44+1.96^2/(2*B44)+1.96*SQRT(E44*(1-E44)/B44+1.96^2/(4*B44^2)))/(1+1.96^2/B44))</f>
        <v/>
      </c>
      <c r="H44" s="18" t="s">
        <v>246</v>
      </c>
    </row>
    <row r="45" spans="1:11" x14ac:dyDescent="0.25">
      <c r="A45" s="18" t="str">
        <f>README!A7</f>
        <v>BC_initial_8000</v>
      </c>
      <c r="B45" s="18">
        <f>README!C7</f>
        <v>8000</v>
      </c>
      <c r="C45" s="19">
        <f>IF(README!D7="","",README!D7)</f>
        <v>3248</v>
      </c>
      <c r="D45" s="19">
        <f>README!F7</f>
        <v>9</v>
      </c>
      <c r="E45" s="20">
        <f>IF(C45="","",C45/B45)</f>
        <v>0.40600000000000003</v>
      </c>
      <c r="F45" s="20">
        <f>IF(E45="","",(E45+1.96^2/(2*B45)-1.96*SQRT(E45*(1-E45)/B45+1.96^2/(4*B45^2)))/(1+1.96^2/B45))</f>
        <v>0.39528624151745539</v>
      </c>
      <c r="G45" s="20">
        <f>IF(E45="","",(E45+1.96^2/(2*B45)+1.96*SQRT(E45*(1-E45)/B45+1.96^2/(4*B45^2)))/(1+1.96^2/B45))</f>
        <v>0.41680399275204855</v>
      </c>
      <c r="H45" s="18" t="str">
        <f>IF(E45="","No model-versus-heuristic rate",TEXT(E45,"0.0%")&amp;" ["&amp;TEXT(F45,"0.0%")&amp;", "&amp;TEXT(G45,"0.0%")&amp;"]")</f>
        <v>40.6% [39.5%, 41.7%]</v>
      </c>
    </row>
    <row r="46" spans="1:11" x14ac:dyDescent="0.25">
      <c r="A46" s="18" t="str">
        <f>README!A12</f>
        <v>RL_iter30</v>
      </c>
      <c r="B46" s="18">
        <f>README!C12</f>
        <v>8000</v>
      </c>
      <c r="C46" s="19">
        <f>IF(README!D12="","",README!D12)</f>
        <v>4091</v>
      </c>
      <c r="D46" s="19">
        <f>README!F12</f>
        <v>7</v>
      </c>
      <c r="E46" s="20">
        <f>IF(C46="","",C46/B46)</f>
        <v>0.51137500000000002</v>
      </c>
      <c r="F46" s="20">
        <f>IF(E46="","",(E46+1.96^2/(2*B46)-1.96*SQRT(E46*(1-E46)/B46+1.96^2/(4*B46^2)))/(1+1.96^2/B46))</f>
        <v>0.50041827074402168</v>
      </c>
      <c r="G46" s="20">
        <f>IF(E46="","",(E46+1.96^2/(2*B46)+1.96*SQRT(E46*(1-E46)/B46+1.96^2/(4*B46^2)))/(1+1.96^2/B46))</f>
        <v>0.52232080994942931</v>
      </c>
      <c r="H46" s="18" t="str">
        <f>IF(E46="","No model-versus-heuristic rate",TEXT(E46,"0.0%")&amp;" ["&amp;TEXT(F46,"0.0%")&amp;", "&amp;TEXT(G46,"0.0%")&amp;"]")</f>
        <v>51.1% [50.0%, 52.2%]</v>
      </c>
    </row>
    <row r="47" spans="1:11" x14ac:dyDescent="0.25">
      <c r="A47" s="18" t="str">
        <f>README!A13</f>
        <v>RL_iter40</v>
      </c>
      <c r="B47" s="18">
        <f>README!C13</f>
        <v>8000</v>
      </c>
      <c r="C47" s="19">
        <f>IF(README!D13="","",README!D13)</f>
        <v>4051</v>
      </c>
      <c r="D47" s="19">
        <f>README!F13</f>
        <v>9</v>
      </c>
      <c r="E47" s="20">
        <f>IF(C47="","",C47/B47)</f>
        <v>0.50637500000000002</v>
      </c>
      <c r="F47" s="20">
        <f>IF(E47="","",(E47+1.96^2/(2*B47)-1.96*SQRT(E47*(1-E47)/B47+1.96^2/(4*B47^2)))/(1+1.96^2/B47))</f>
        <v>0.49541872684112959</v>
      </c>
      <c r="G47" s="20">
        <f>IF(E47="","",(E47+1.96^2/(2*B47)+1.96*SQRT(E47*(1-E47)/B47+1.96^2/(4*B47^2)))/(1+1.96^2/B47))</f>
        <v>0.51732515354750785</v>
      </c>
      <c r="H47" s="18" t="str">
        <f>IF(E47="","No model-versus-heuristic rate",TEXT(E47,"0.0%")&amp;" ["&amp;TEXT(F47,"0.0%")&amp;", "&amp;TEXT(G47,"0.0%")&amp;"]")</f>
        <v>50.6% [49.5%, 51.7%]</v>
      </c>
    </row>
    <row r="49" spans="1:11" x14ac:dyDescent="0.25">
      <c r="A49" s="24" t="s">
        <v>247</v>
      </c>
      <c r="B49" s="23"/>
      <c r="C49" s="23"/>
      <c r="D49" s="23"/>
      <c r="E49" s="23"/>
      <c r="F49" s="23"/>
      <c r="G49" s="23"/>
      <c r="H49" s="23"/>
    </row>
    <row r="51" spans="1:11" ht="30" customHeight="1" x14ac:dyDescent="0.25">
      <c r="A51" s="2" t="s">
        <v>248</v>
      </c>
      <c r="B51" s="22" t="s">
        <v>249</v>
      </c>
      <c r="C51" s="23"/>
      <c r="D51" s="23"/>
      <c r="E51" s="23"/>
      <c r="F51" s="23"/>
      <c r="G51" s="23"/>
      <c r="H51" s="23"/>
      <c r="I51" s="23"/>
      <c r="J51" s="23"/>
      <c r="K51" s="23"/>
    </row>
    <row r="52" spans="1:11" ht="30" customHeight="1" x14ac:dyDescent="0.25">
      <c r="A52" s="2" t="s">
        <v>250</v>
      </c>
      <c r="B52" s="22" t="s">
        <v>251</v>
      </c>
      <c r="C52" s="23"/>
      <c r="D52" s="23"/>
      <c r="E52" s="23"/>
      <c r="F52" s="23"/>
      <c r="G52" s="23"/>
      <c r="H52" s="23"/>
      <c r="I52" s="23"/>
      <c r="J52" s="23"/>
      <c r="K52" s="23"/>
    </row>
    <row r="53" spans="1:11" ht="30" customHeight="1" x14ac:dyDescent="0.25">
      <c r="A53" s="2" t="s">
        <v>252</v>
      </c>
      <c r="B53" s="22" t="s">
        <v>253</v>
      </c>
      <c r="C53" s="23"/>
      <c r="D53" s="23"/>
      <c r="E53" s="23"/>
      <c r="F53" s="23"/>
      <c r="G53" s="23"/>
      <c r="H53" s="23"/>
      <c r="I53" s="23"/>
      <c r="J53" s="23"/>
      <c r="K53" s="23"/>
    </row>
    <row r="54" spans="1:11" ht="30" customHeight="1" x14ac:dyDescent="0.25">
      <c r="A54" s="2" t="s">
        <v>254</v>
      </c>
      <c r="B54" s="22" t="s">
        <v>255</v>
      </c>
      <c r="C54" s="23"/>
      <c r="D54" s="23"/>
      <c r="E54" s="23"/>
      <c r="F54" s="23"/>
      <c r="G54" s="23"/>
      <c r="H54" s="23"/>
      <c r="I54" s="23"/>
      <c r="J54" s="23"/>
      <c r="K54" s="23"/>
    </row>
  </sheetData>
  <mergeCells count="5">
    <mergeCell ref="B54:K54"/>
    <mergeCell ref="B52:K52"/>
    <mergeCell ref="B53:K53"/>
    <mergeCell ref="A49:H49"/>
    <mergeCell ref="B51:K5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HvH_40000</vt:lpstr>
      <vt:lpstr>BC_initial_8000</vt:lpstr>
      <vt:lpstr>RL_iter05</vt:lpstr>
      <vt:lpstr>RL_iter10</vt:lpstr>
      <vt:lpstr>RL_iter15</vt:lpstr>
      <vt:lpstr>RL_iter20</vt:lpstr>
      <vt:lpstr>RL_iter30</vt:lpstr>
      <vt:lpstr>RL_iter40</vt:lpstr>
      <vt:lpstr>RL30_vs_Baselines</vt:lpstr>
      <vt:lpstr>RL40_vs_Baselines</vt:lpstr>
      <vt:lpstr>RL40_vs_RL30</vt:lpstr>
      <vt:lpstr>All_Matrices_Combined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Price</cp:lastModifiedBy>
  <dcterms:created xsi:type="dcterms:W3CDTF">2026-09-17T13:11:18Z</dcterms:created>
  <dcterms:modified xsi:type="dcterms:W3CDTF">2026-09-17T15:47:15Z</dcterms:modified>
</cp:coreProperties>
</file>